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ate1904="1"/>
  <mc:AlternateContent xmlns:mc="http://schemas.openxmlformats.org/markup-compatibility/2006">
    <mc:Choice Requires="x15">
      <x15ac:absPath xmlns:x15ac="http://schemas.microsoft.com/office/spreadsheetml/2010/11/ac" url="https://d.docs.live.net/647b0d43a9df03ff/Documenten/TU Delft/TIL/Design Project/TIL5050-Delayed-ICE-main/TIL5050-Delayed-ICE/"/>
    </mc:Choice>
  </mc:AlternateContent>
  <xr:revisionPtr revIDLastSave="4645" documentId="11_3D4F55BF84DCCE036F15A6DB9431F45B9AFF0E61" xr6:coauthVersionLast="47" xr6:coauthVersionMax="47" xr10:uidLastSave="{A8229AE7-7C9E-4FF2-A300-2BCC0E1E33A4}"/>
  <bookViews>
    <workbookView xWindow="-108" yWindow="-108" windowWidth="23256" windowHeight="12456" firstSheet="10" activeTab="10" xr2:uid="{00000000-000D-0000-FFFF-FFFF00000000}"/>
  </bookViews>
  <sheets>
    <sheet name="Cancel Stop Hgl-Odz-Hgl" sheetId="1" r:id="rId1"/>
    <sheet name="ICE Waits" sheetId="2" r:id="rId2"/>
    <sheet name="Stop Waits" sheetId="3" r:id="rId3"/>
    <sheet name="Remove stop Hengelo" sheetId="4" r:id="rId4"/>
    <sheet name="Extra platform Hengelo" sheetId="5" r:id="rId5"/>
    <sheet name="Short-turn Hengelo" sheetId="6" r:id="rId6"/>
    <sheet name="Overtake Rijssen" sheetId="7" r:id="rId7"/>
    <sheet name="Alternative ICE Paths" sheetId="8" r:id="rId8"/>
    <sheet name="Stop Almelo" sheetId="10" r:id="rId9"/>
    <sheet name="Summary" sheetId="9" r:id="rId10"/>
    <sheet name="Python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5" i="11" l="1"/>
  <c r="H145" i="11"/>
  <c r="G145" i="11"/>
  <c r="F145" i="11"/>
  <c r="E145" i="11"/>
  <c r="D145" i="11"/>
  <c r="C145" i="11"/>
  <c r="B145" i="11"/>
  <c r="I144" i="11"/>
  <c r="H144" i="11"/>
  <c r="G144" i="11"/>
  <c r="F144" i="11"/>
  <c r="E144" i="11"/>
  <c r="D144" i="11"/>
  <c r="C144" i="11"/>
  <c r="B144" i="11"/>
  <c r="I143" i="11"/>
  <c r="H143" i="11"/>
  <c r="G143" i="11"/>
  <c r="F143" i="11"/>
  <c r="E143" i="11"/>
  <c r="D143" i="11"/>
  <c r="C143" i="11"/>
  <c r="B143" i="11"/>
  <c r="I142" i="11"/>
  <c r="H142" i="11"/>
  <c r="G142" i="11"/>
  <c r="F142" i="11"/>
  <c r="E142" i="11"/>
  <c r="D142" i="11"/>
  <c r="C142" i="11"/>
  <c r="B142" i="11"/>
  <c r="I141" i="11"/>
  <c r="H141" i="11"/>
  <c r="G141" i="11"/>
  <c r="F141" i="11"/>
  <c r="E141" i="11"/>
  <c r="D141" i="11"/>
  <c r="C141" i="11"/>
  <c r="B141" i="11"/>
  <c r="I140" i="11"/>
  <c r="H140" i="11"/>
  <c r="G140" i="11"/>
  <c r="F140" i="11"/>
  <c r="E140" i="11"/>
  <c r="D140" i="11"/>
  <c r="C140" i="11"/>
  <c r="B140" i="11"/>
  <c r="I139" i="11"/>
  <c r="H139" i="11"/>
  <c r="G139" i="11"/>
  <c r="F139" i="11"/>
  <c r="E139" i="11"/>
  <c r="D139" i="11"/>
  <c r="C139" i="11"/>
  <c r="B139" i="11"/>
  <c r="I138" i="11"/>
  <c r="H138" i="11"/>
  <c r="G138" i="11"/>
  <c r="F138" i="11"/>
  <c r="E138" i="11"/>
  <c r="D138" i="11"/>
  <c r="C138" i="11"/>
  <c r="B138" i="11"/>
  <c r="I137" i="11"/>
  <c r="H137" i="11"/>
  <c r="G137" i="11"/>
  <c r="F137" i="11"/>
  <c r="E137" i="11"/>
  <c r="D137" i="11"/>
  <c r="C137" i="11"/>
  <c r="I136" i="11"/>
  <c r="H136" i="11"/>
  <c r="G136" i="11"/>
  <c r="F136" i="11"/>
  <c r="E136" i="11"/>
  <c r="D136" i="11"/>
  <c r="C136" i="11"/>
  <c r="B136" i="11"/>
  <c r="I135" i="11"/>
  <c r="H135" i="11"/>
  <c r="G135" i="11"/>
  <c r="F135" i="11"/>
  <c r="E135" i="11"/>
  <c r="D135" i="11"/>
  <c r="C135" i="11"/>
  <c r="B135" i="11"/>
  <c r="I134" i="11"/>
  <c r="H134" i="11"/>
  <c r="G134" i="11"/>
  <c r="F134" i="11"/>
  <c r="E134" i="11"/>
  <c r="D134" i="11"/>
  <c r="C134" i="11"/>
  <c r="B134" i="11"/>
  <c r="I133" i="11"/>
  <c r="H133" i="11"/>
  <c r="G133" i="11"/>
  <c r="F133" i="11"/>
  <c r="E133" i="11"/>
  <c r="D133" i="11"/>
  <c r="C133" i="11"/>
  <c r="B133" i="11"/>
  <c r="I132" i="11"/>
  <c r="H132" i="11"/>
  <c r="G132" i="11"/>
  <c r="F132" i="11"/>
  <c r="E132" i="11"/>
  <c r="D132" i="11"/>
  <c r="C132" i="11"/>
  <c r="B132" i="11"/>
  <c r="I131" i="11"/>
  <c r="H131" i="11"/>
  <c r="G131" i="11"/>
  <c r="F131" i="11"/>
  <c r="E131" i="11"/>
  <c r="D131" i="11"/>
  <c r="C131" i="11"/>
  <c r="B131" i="11"/>
  <c r="I130" i="11"/>
  <c r="H130" i="11"/>
  <c r="G130" i="11"/>
  <c r="F130" i="11"/>
  <c r="E130" i="11"/>
  <c r="D130" i="11"/>
  <c r="C130" i="11"/>
  <c r="B130" i="11"/>
  <c r="I129" i="11"/>
  <c r="H129" i="11"/>
  <c r="G129" i="11"/>
  <c r="F129" i="11"/>
  <c r="E129" i="11"/>
  <c r="D129" i="11"/>
  <c r="C129" i="11"/>
  <c r="B129" i="11"/>
  <c r="I128" i="11"/>
  <c r="H128" i="11"/>
  <c r="G128" i="11"/>
  <c r="F128" i="11"/>
  <c r="E128" i="11"/>
  <c r="D128" i="11"/>
  <c r="C128" i="11"/>
  <c r="B137" i="11"/>
  <c r="B128" i="11"/>
  <c r="I127" i="11"/>
  <c r="H127" i="11"/>
  <c r="G127" i="11"/>
  <c r="F127" i="11"/>
  <c r="E127" i="11"/>
  <c r="D127" i="11"/>
  <c r="C127" i="11"/>
  <c r="B127" i="11"/>
  <c r="I126" i="11"/>
  <c r="H126" i="11"/>
  <c r="G126" i="11"/>
  <c r="F126" i="11"/>
  <c r="E126" i="11"/>
  <c r="D126" i="11"/>
  <c r="C126" i="11"/>
  <c r="B126" i="11"/>
  <c r="I125" i="11"/>
  <c r="H125" i="11"/>
  <c r="G125" i="11"/>
  <c r="F125" i="11"/>
  <c r="E125" i="11"/>
  <c r="D125" i="11"/>
  <c r="C125" i="11"/>
  <c r="B125" i="11"/>
  <c r="I124" i="11"/>
  <c r="H124" i="11"/>
  <c r="G124" i="11"/>
  <c r="F124" i="11"/>
  <c r="E124" i="11"/>
  <c r="D124" i="11"/>
  <c r="C124" i="11"/>
  <c r="B124" i="11"/>
  <c r="I123" i="11"/>
  <c r="H123" i="11"/>
  <c r="G123" i="11"/>
  <c r="F123" i="11"/>
  <c r="E123" i="11"/>
  <c r="D123" i="11"/>
  <c r="C123" i="11"/>
  <c r="B123" i="11"/>
  <c r="I122" i="11"/>
  <c r="H122" i="11"/>
  <c r="G122" i="11"/>
  <c r="F122" i="11"/>
  <c r="E122" i="11"/>
  <c r="D122" i="11"/>
  <c r="C122" i="11"/>
  <c r="B122" i="11"/>
  <c r="I121" i="11"/>
  <c r="H121" i="11"/>
  <c r="G121" i="11"/>
  <c r="F121" i="11"/>
  <c r="E121" i="11"/>
  <c r="D121" i="11"/>
  <c r="C121" i="11"/>
  <c r="B121" i="11"/>
  <c r="I120" i="11"/>
  <c r="H120" i="11"/>
  <c r="G120" i="11"/>
  <c r="F120" i="11"/>
  <c r="E120" i="11"/>
  <c r="D120" i="11"/>
  <c r="C120" i="11"/>
  <c r="B120" i="11"/>
  <c r="I119" i="11"/>
  <c r="H119" i="11"/>
  <c r="G119" i="11"/>
  <c r="F119" i="11"/>
  <c r="E119" i="11"/>
  <c r="D119" i="11"/>
  <c r="C119" i="11"/>
  <c r="B119" i="11"/>
  <c r="I118" i="11"/>
  <c r="H118" i="11"/>
  <c r="G118" i="11"/>
  <c r="F118" i="11"/>
  <c r="E118" i="11"/>
  <c r="D118" i="11"/>
  <c r="C118" i="11"/>
  <c r="B118" i="11"/>
  <c r="I117" i="11"/>
  <c r="H117" i="11"/>
  <c r="G117" i="11"/>
  <c r="F117" i="11"/>
  <c r="E117" i="11"/>
  <c r="D117" i="11"/>
  <c r="C117" i="11"/>
  <c r="B117" i="11"/>
  <c r="I116" i="11"/>
  <c r="H116" i="11"/>
  <c r="G116" i="11"/>
  <c r="F116" i="11"/>
  <c r="E116" i="11"/>
  <c r="D116" i="11"/>
  <c r="C116" i="11"/>
  <c r="B116" i="11"/>
  <c r="I115" i="11"/>
  <c r="H115" i="11"/>
  <c r="G115" i="11"/>
  <c r="F115" i="11"/>
  <c r="E115" i="11"/>
  <c r="D115" i="11"/>
  <c r="C115" i="11"/>
  <c r="B115" i="11"/>
  <c r="I114" i="11"/>
  <c r="H114" i="11"/>
  <c r="G114" i="11"/>
  <c r="F114" i="11"/>
  <c r="E114" i="11"/>
  <c r="D114" i="11"/>
  <c r="C114" i="11"/>
  <c r="B114" i="11"/>
  <c r="I113" i="11"/>
  <c r="H113" i="11"/>
  <c r="G113" i="11"/>
  <c r="F113" i="11"/>
  <c r="E113" i="11"/>
  <c r="D113" i="11"/>
  <c r="C113" i="11"/>
  <c r="B113" i="11"/>
  <c r="I112" i="11"/>
  <c r="H112" i="11"/>
  <c r="G112" i="11"/>
  <c r="F112" i="11"/>
  <c r="E112" i="11"/>
  <c r="D112" i="11"/>
  <c r="C112" i="11"/>
  <c r="B112" i="11"/>
  <c r="I111" i="11"/>
  <c r="H111" i="11"/>
  <c r="G111" i="11"/>
  <c r="F111" i="11"/>
  <c r="E111" i="11"/>
  <c r="D111" i="11"/>
  <c r="C111" i="11"/>
  <c r="B111" i="11"/>
  <c r="I110" i="11"/>
  <c r="H110" i="11"/>
  <c r="G110" i="11"/>
  <c r="F110" i="11"/>
  <c r="E110" i="11"/>
  <c r="D110" i="11"/>
  <c r="C110" i="11"/>
  <c r="B110" i="11"/>
  <c r="I109" i="11"/>
  <c r="H109" i="11"/>
  <c r="G109" i="11"/>
  <c r="F109" i="11"/>
  <c r="E109" i="11"/>
  <c r="D109" i="11"/>
  <c r="C109" i="11"/>
  <c r="B109" i="11"/>
  <c r="I108" i="11"/>
  <c r="H108" i="11"/>
  <c r="G108" i="11"/>
  <c r="F108" i="11"/>
  <c r="E108" i="11"/>
  <c r="D108" i="11"/>
  <c r="C108" i="11"/>
  <c r="B108" i="11"/>
  <c r="I107" i="11"/>
  <c r="H107" i="11"/>
  <c r="G107" i="11"/>
  <c r="F107" i="11"/>
  <c r="E107" i="11"/>
  <c r="D107" i="11"/>
  <c r="C107" i="11"/>
  <c r="B107" i="11"/>
  <c r="I106" i="11"/>
  <c r="H106" i="11"/>
  <c r="G106" i="11"/>
  <c r="F106" i="11"/>
  <c r="E106" i="11"/>
  <c r="D106" i="11"/>
  <c r="C106" i="11"/>
  <c r="B106" i="11"/>
  <c r="I105" i="11"/>
  <c r="H105" i="11"/>
  <c r="G105" i="11"/>
  <c r="F105" i="11"/>
  <c r="E105" i="11"/>
  <c r="D105" i="11"/>
  <c r="C105" i="11"/>
  <c r="B105" i="11"/>
  <c r="I104" i="11"/>
  <c r="H104" i="11"/>
  <c r="G104" i="11"/>
  <c r="F104" i="11"/>
  <c r="E104" i="11"/>
  <c r="D104" i="11"/>
  <c r="C104" i="11"/>
  <c r="B104" i="11"/>
  <c r="I103" i="11"/>
  <c r="H103" i="11"/>
  <c r="G103" i="11"/>
  <c r="F103" i="11"/>
  <c r="E103" i="11"/>
  <c r="D103" i="11"/>
  <c r="C103" i="11"/>
  <c r="B103" i="11"/>
  <c r="I102" i="11"/>
  <c r="H102" i="11"/>
  <c r="G102" i="11"/>
  <c r="F102" i="11"/>
  <c r="E102" i="11"/>
  <c r="D102" i="11"/>
  <c r="C102" i="11"/>
  <c r="B102" i="11"/>
  <c r="I101" i="11"/>
  <c r="H101" i="11"/>
  <c r="G101" i="11"/>
  <c r="F101" i="11"/>
  <c r="E101" i="11"/>
  <c r="D101" i="11"/>
  <c r="C101" i="11"/>
  <c r="I100" i="11"/>
  <c r="H100" i="11"/>
  <c r="G100" i="11"/>
  <c r="F100" i="11"/>
  <c r="E100" i="11"/>
  <c r="D100" i="11"/>
  <c r="C100" i="11"/>
  <c r="B100" i="11"/>
  <c r="I99" i="11"/>
  <c r="H99" i="11"/>
  <c r="G99" i="11"/>
  <c r="F99" i="11"/>
  <c r="E99" i="11"/>
  <c r="D99" i="11"/>
  <c r="C99" i="11"/>
  <c r="B99" i="11"/>
  <c r="I98" i="11"/>
  <c r="H98" i="11"/>
  <c r="G98" i="11"/>
  <c r="F98" i="11"/>
  <c r="E98" i="11"/>
  <c r="D98" i="11"/>
  <c r="C98" i="11"/>
  <c r="B98" i="11"/>
  <c r="I97" i="11"/>
  <c r="H97" i="11"/>
  <c r="G97" i="11"/>
  <c r="F97" i="11"/>
  <c r="E97" i="11"/>
  <c r="D97" i="11"/>
  <c r="C97" i="11"/>
  <c r="B97" i="11"/>
  <c r="I96" i="11"/>
  <c r="H96" i="11"/>
  <c r="G96" i="11"/>
  <c r="F96" i="11"/>
  <c r="E96" i="11"/>
  <c r="D96" i="11"/>
  <c r="C96" i="11"/>
  <c r="B96" i="11"/>
  <c r="I95" i="11"/>
  <c r="H95" i="11"/>
  <c r="G95" i="11"/>
  <c r="F95" i="11"/>
  <c r="E95" i="11"/>
  <c r="D95" i="11"/>
  <c r="C95" i="11"/>
  <c r="B95" i="11"/>
  <c r="I94" i="11"/>
  <c r="H94" i="11"/>
  <c r="G94" i="11"/>
  <c r="F94" i="11"/>
  <c r="E94" i="11"/>
  <c r="D94" i="11"/>
  <c r="C94" i="11"/>
  <c r="B94" i="11"/>
  <c r="I93" i="11"/>
  <c r="H93" i="11"/>
  <c r="G93" i="11"/>
  <c r="F93" i="11"/>
  <c r="E93" i="11"/>
  <c r="D93" i="11"/>
  <c r="C93" i="11"/>
  <c r="B93" i="11"/>
  <c r="I92" i="11"/>
  <c r="H92" i="11"/>
  <c r="G92" i="11"/>
  <c r="F92" i="11"/>
  <c r="E92" i="11"/>
  <c r="D92" i="11"/>
  <c r="C92" i="11"/>
  <c r="I91" i="11"/>
  <c r="H91" i="11"/>
  <c r="G91" i="11"/>
  <c r="F91" i="11"/>
  <c r="E91" i="11"/>
  <c r="D91" i="11"/>
  <c r="C91" i="11"/>
  <c r="B91" i="11"/>
  <c r="I90" i="11"/>
  <c r="H90" i="11"/>
  <c r="G90" i="11"/>
  <c r="F90" i="11"/>
  <c r="E90" i="11"/>
  <c r="D90" i="11"/>
  <c r="C90" i="11"/>
  <c r="B90" i="11"/>
  <c r="I89" i="11"/>
  <c r="H89" i="11"/>
  <c r="G89" i="11"/>
  <c r="F89" i="11"/>
  <c r="E89" i="11"/>
  <c r="D89" i="11"/>
  <c r="C89" i="11"/>
  <c r="B89" i="11"/>
  <c r="I88" i="11"/>
  <c r="H88" i="11"/>
  <c r="G88" i="11"/>
  <c r="F88" i="11"/>
  <c r="E88" i="11"/>
  <c r="D88" i="11"/>
  <c r="C88" i="11"/>
  <c r="B88" i="11"/>
  <c r="I87" i="11"/>
  <c r="H87" i="11"/>
  <c r="G87" i="11"/>
  <c r="F87" i="11"/>
  <c r="E87" i="11"/>
  <c r="D87" i="11"/>
  <c r="C87" i="11"/>
  <c r="B87" i="11"/>
  <c r="I86" i="11"/>
  <c r="H86" i="11"/>
  <c r="G86" i="11"/>
  <c r="F86" i="11"/>
  <c r="E86" i="11"/>
  <c r="D86" i="11"/>
  <c r="C86" i="11"/>
  <c r="B86" i="11"/>
  <c r="I85" i="11"/>
  <c r="H85" i="11"/>
  <c r="G85" i="11"/>
  <c r="F85" i="11"/>
  <c r="E85" i="11"/>
  <c r="D85" i="11"/>
  <c r="C85" i="11"/>
  <c r="B85" i="11"/>
  <c r="I84" i="11"/>
  <c r="H84" i="11"/>
  <c r="G84" i="11"/>
  <c r="F84" i="11"/>
  <c r="E84" i="11"/>
  <c r="D84" i="11"/>
  <c r="C84" i="11"/>
  <c r="B84" i="11"/>
  <c r="I83" i="11"/>
  <c r="H83" i="11"/>
  <c r="G83" i="11"/>
  <c r="F83" i="11"/>
  <c r="E83" i="11"/>
  <c r="D83" i="11"/>
  <c r="C83" i="11"/>
  <c r="B101" i="11"/>
  <c r="B92" i="11"/>
  <c r="B83" i="11"/>
  <c r="I82" i="11"/>
  <c r="H82" i="11"/>
  <c r="G82" i="11"/>
  <c r="F82" i="11"/>
  <c r="E82" i="11"/>
  <c r="D82" i="11"/>
  <c r="C82" i="11"/>
  <c r="B82" i="11"/>
  <c r="I81" i="11"/>
  <c r="H81" i="11"/>
  <c r="G81" i="11"/>
  <c r="F81" i="11"/>
  <c r="E81" i="11"/>
  <c r="D81" i="11"/>
  <c r="C81" i="11"/>
  <c r="B81" i="11"/>
  <c r="I80" i="11"/>
  <c r="H80" i="11"/>
  <c r="G80" i="11"/>
  <c r="F80" i="11"/>
  <c r="E80" i="11"/>
  <c r="D80" i="11"/>
  <c r="C80" i="11"/>
  <c r="B80" i="11"/>
  <c r="I79" i="11"/>
  <c r="H79" i="11"/>
  <c r="G79" i="11"/>
  <c r="F79" i="11"/>
  <c r="E79" i="11"/>
  <c r="D79" i="11"/>
  <c r="C79" i="11"/>
  <c r="B79" i="11"/>
  <c r="I78" i="11"/>
  <c r="H78" i="11"/>
  <c r="G78" i="11"/>
  <c r="F78" i="11"/>
  <c r="E78" i="11"/>
  <c r="D78" i="11"/>
  <c r="C78" i="11"/>
  <c r="B78" i="11"/>
  <c r="I77" i="11"/>
  <c r="H77" i="11"/>
  <c r="G77" i="11"/>
  <c r="F77" i="11"/>
  <c r="E77" i="11"/>
  <c r="D77" i="11"/>
  <c r="C77" i="11"/>
  <c r="B77" i="11"/>
  <c r="I76" i="11"/>
  <c r="H76" i="11"/>
  <c r="G76" i="11"/>
  <c r="F76" i="11"/>
  <c r="E76" i="11"/>
  <c r="D76" i="11"/>
  <c r="C76" i="11"/>
  <c r="B76" i="11"/>
  <c r="I75" i="11"/>
  <c r="H75" i="11"/>
  <c r="G75" i="11"/>
  <c r="F75" i="11"/>
  <c r="E75" i="11"/>
  <c r="D75" i="11"/>
  <c r="C75" i="11"/>
  <c r="B75" i="11"/>
  <c r="I74" i="11"/>
  <c r="H74" i="11"/>
  <c r="G74" i="11"/>
  <c r="F74" i="11"/>
  <c r="E74" i="11"/>
  <c r="D74" i="11"/>
  <c r="C74" i="11"/>
  <c r="I73" i="11"/>
  <c r="H73" i="11"/>
  <c r="G73" i="11"/>
  <c r="F73" i="11"/>
  <c r="E73" i="11"/>
  <c r="D73" i="11"/>
  <c r="C73" i="11"/>
  <c r="B73" i="11"/>
  <c r="I72" i="11"/>
  <c r="H72" i="11"/>
  <c r="G72" i="11"/>
  <c r="F72" i="11"/>
  <c r="E72" i="11"/>
  <c r="D72" i="11"/>
  <c r="C72" i="11"/>
  <c r="B72" i="11"/>
  <c r="I71" i="11"/>
  <c r="H71" i="11"/>
  <c r="G71" i="11"/>
  <c r="F71" i="11"/>
  <c r="E71" i="11"/>
  <c r="D71" i="11"/>
  <c r="C71" i="11"/>
  <c r="B71" i="11"/>
  <c r="I70" i="11"/>
  <c r="H70" i="11"/>
  <c r="G70" i="11"/>
  <c r="F70" i="11"/>
  <c r="E70" i="11"/>
  <c r="D70" i="11"/>
  <c r="C70" i="11"/>
  <c r="B70" i="11"/>
  <c r="I69" i="11"/>
  <c r="H69" i="11"/>
  <c r="G69" i="11"/>
  <c r="F69" i="11"/>
  <c r="E69" i="11"/>
  <c r="D69" i="11"/>
  <c r="C69" i="11"/>
  <c r="B69" i="11"/>
  <c r="I68" i="11"/>
  <c r="H68" i="11"/>
  <c r="G68" i="11"/>
  <c r="F68" i="11"/>
  <c r="E68" i="11"/>
  <c r="D68" i="11"/>
  <c r="C68" i="11"/>
  <c r="B68" i="11"/>
  <c r="I67" i="11"/>
  <c r="H67" i="11"/>
  <c r="G67" i="11"/>
  <c r="F67" i="11"/>
  <c r="E67" i="11"/>
  <c r="D67" i="11"/>
  <c r="C67" i="11"/>
  <c r="B67" i="11"/>
  <c r="I66" i="11"/>
  <c r="H66" i="11"/>
  <c r="G66" i="11"/>
  <c r="F66" i="11"/>
  <c r="E66" i="11"/>
  <c r="D66" i="11"/>
  <c r="C66" i="11"/>
  <c r="B66" i="11"/>
  <c r="I65" i="11"/>
  <c r="H65" i="11"/>
  <c r="G65" i="11"/>
  <c r="F65" i="11"/>
  <c r="E65" i="11"/>
  <c r="D65" i="11"/>
  <c r="C65" i="11"/>
  <c r="I64" i="11"/>
  <c r="H64" i="11"/>
  <c r="G64" i="11"/>
  <c r="F64" i="11"/>
  <c r="E64" i="11"/>
  <c r="D64" i="11"/>
  <c r="C64" i="11"/>
  <c r="B64" i="11"/>
  <c r="I63" i="11"/>
  <c r="H63" i="11"/>
  <c r="G63" i="11"/>
  <c r="F63" i="11"/>
  <c r="E63" i="11"/>
  <c r="D63" i="11"/>
  <c r="C63" i="11"/>
  <c r="B63" i="11"/>
  <c r="I62" i="11"/>
  <c r="H62" i="11"/>
  <c r="G62" i="11"/>
  <c r="F62" i="11"/>
  <c r="E62" i="11"/>
  <c r="D62" i="11"/>
  <c r="C62" i="11"/>
  <c r="B62" i="11"/>
  <c r="I61" i="11"/>
  <c r="H61" i="11"/>
  <c r="G61" i="11"/>
  <c r="F61" i="11"/>
  <c r="E61" i="11"/>
  <c r="D61" i="11"/>
  <c r="C61" i="11"/>
  <c r="B61" i="11"/>
  <c r="I60" i="11"/>
  <c r="H60" i="11"/>
  <c r="G60" i="11"/>
  <c r="F60" i="11"/>
  <c r="E60" i="11"/>
  <c r="D60" i="11"/>
  <c r="C60" i="11"/>
  <c r="B60" i="11"/>
  <c r="I59" i="11"/>
  <c r="H59" i="11"/>
  <c r="G59" i="11"/>
  <c r="F59" i="11"/>
  <c r="E59" i="11"/>
  <c r="D59" i="11"/>
  <c r="C59" i="11"/>
  <c r="B59" i="11"/>
  <c r="I58" i="11"/>
  <c r="H58" i="11"/>
  <c r="G58" i="11"/>
  <c r="F58" i="11"/>
  <c r="E58" i="11"/>
  <c r="D58" i="11"/>
  <c r="C58" i="11"/>
  <c r="B58" i="11"/>
  <c r="I57" i="11"/>
  <c r="H57" i="11"/>
  <c r="G57" i="11"/>
  <c r="F57" i="11"/>
  <c r="E57" i="11"/>
  <c r="D57" i="11"/>
  <c r="C57" i="11"/>
  <c r="B57" i="11"/>
  <c r="I56" i="11"/>
  <c r="H56" i="11"/>
  <c r="G56" i="11"/>
  <c r="F56" i="11"/>
  <c r="E56" i="11"/>
  <c r="D56" i="11"/>
  <c r="C56" i="11"/>
  <c r="B74" i="11"/>
  <c r="B65" i="11"/>
  <c r="B56" i="11"/>
  <c r="I55" i="11"/>
  <c r="H55" i="11"/>
  <c r="G55" i="11"/>
  <c r="F55" i="11"/>
  <c r="E55" i="11"/>
  <c r="D55" i="11"/>
  <c r="C55" i="11"/>
  <c r="B55" i="11"/>
  <c r="I54" i="11"/>
  <c r="H54" i="11"/>
  <c r="G54" i="11"/>
  <c r="F54" i="11"/>
  <c r="E54" i="11"/>
  <c r="D54" i="11"/>
  <c r="C54" i="11"/>
  <c r="B54" i="11"/>
  <c r="I53" i="11"/>
  <c r="H53" i="11"/>
  <c r="G53" i="11"/>
  <c r="F53" i="11"/>
  <c r="E53" i="11"/>
  <c r="D53" i="11"/>
  <c r="C53" i="11"/>
  <c r="B53" i="11"/>
  <c r="I52" i="11"/>
  <c r="H52" i="11"/>
  <c r="G52" i="11"/>
  <c r="F52" i="11"/>
  <c r="E52" i="11"/>
  <c r="D52" i="11"/>
  <c r="C52" i="11"/>
  <c r="B52" i="11"/>
  <c r="I51" i="11"/>
  <c r="H51" i="11"/>
  <c r="G51" i="11"/>
  <c r="F51" i="11"/>
  <c r="E51" i="11"/>
  <c r="D51" i="11"/>
  <c r="C51" i="11"/>
  <c r="B51" i="11"/>
  <c r="I50" i="11"/>
  <c r="H50" i="11"/>
  <c r="G50" i="11"/>
  <c r="F50" i="11"/>
  <c r="E50" i="11"/>
  <c r="D50" i="11"/>
  <c r="C50" i="11"/>
  <c r="B50" i="11"/>
  <c r="I49" i="11"/>
  <c r="H49" i="11"/>
  <c r="G49" i="11"/>
  <c r="F49" i="11"/>
  <c r="E49" i="11"/>
  <c r="D49" i="11"/>
  <c r="C49" i="11"/>
  <c r="B49" i="11"/>
  <c r="I48" i="11"/>
  <c r="H48" i="11"/>
  <c r="G48" i="11"/>
  <c r="F48" i="11"/>
  <c r="E48" i="11"/>
  <c r="D48" i="11"/>
  <c r="C48" i="11"/>
  <c r="B48" i="11"/>
  <c r="I47" i="11"/>
  <c r="H47" i="11"/>
  <c r="G47" i="11"/>
  <c r="F47" i="11"/>
  <c r="E47" i="11"/>
  <c r="D47" i="11"/>
  <c r="C47" i="11"/>
  <c r="B47" i="11"/>
  <c r="I46" i="11"/>
  <c r="H46" i="11"/>
  <c r="G46" i="11"/>
  <c r="F46" i="11"/>
  <c r="E46" i="11"/>
  <c r="D46" i="11"/>
  <c r="C46" i="11"/>
  <c r="B46" i="11"/>
  <c r="I45" i="11"/>
  <c r="H45" i="11"/>
  <c r="G45" i="11"/>
  <c r="F45" i="11"/>
  <c r="E45" i="11"/>
  <c r="D45" i="11"/>
  <c r="C45" i="11"/>
  <c r="B45" i="11"/>
  <c r="I44" i="11"/>
  <c r="H44" i="11"/>
  <c r="G44" i="11"/>
  <c r="F44" i="11"/>
  <c r="E44" i="11"/>
  <c r="D44" i="11"/>
  <c r="C44" i="11"/>
  <c r="B44" i="11"/>
  <c r="I43" i="11"/>
  <c r="H43" i="11"/>
  <c r="G43" i="11"/>
  <c r="F43" i="11"/>
  <c r="E43" i="11"/>
  <c r="D43" i="11"/>
  <c r="C43" i="11"/>
  <c r="B43" i="11"/>
  <c r="I42" i="11"/>
  <c r="H42" i="11"/>
  <c r="G42" i="11"/>
  <c r="F42" i="11"/>
  <c r="E42" i="11"/>
  <c r="D42" i="11"/>
  <c r="C42" i="11"/>
  <c r="B42" i="11"/>
  <c r="I41" i="11"/>
  <c r="H41" i="11"/>
  <c r="G41" i="11"/>
  <c r="F41" i="11"/>
  <c r="E41" i="11"/>
  <c r="D41" i="11"/>
  <c r="C41" i="11"/>
  <c r="B41" i="11"/>
  <c r="I40" i="11"/>
  <c r="H40" i="11"/>
  <c r="G40" i="11"/>
  <c r="F40" i="11"/>
  <c r="E40" i="11"/>
  <c r="D40" i="11"/>
  <c r="C40" i="11"/>
  <c r="B40" i="11"/>
  <c r="I39" i="11"/>
  <c r="H39" i="11"/>
  <c r="G39" i="11"/>
  <c r="F39" i="11"/>
  <c r="E39" i="11"/>
  <c r="D39" i="11"/>
  <c r="C39" i="11"/>
  <c r="B39" i="11"/>
  <c r="I38" i="11"/>
  <c r="H38" i="11"/>
  <c r="G38" i="11"/>
  <c r="F38" i="11"/>
  <c r="E38" i="11"/>
  <c r="D38" i="11"/>
  <c r="C38" i="11"/>
  <c r="B38" i="11"/>
  <c r="I37" i="11"/>
  <c r="H37" i="11"/>
  <c r="G37" i="11"/>
  <c r="F37" i="11"/>
  <c r="E37" i="11"/>
  <c r="D37" i="11"/>
  <c r="C37" i="11"/>
  <c r="B37" i="11"/>
  <c r="I36" i="11"/>
  <c r="H36" i="11"/>
  <c r="G36" i="11"/>
  <c r="F36" i="11"/>
  <c r="E36" i="11"/>
  <c r="D36" i="11"/>
  <c r="C36" i="11"/>
  <c r="B36" i="11"/>
  <c r="I35" i="11"/>
  <c r="H35" i="11"/>
  <c r="G35" i="11"/>
  <c r="F35" i="11"/>
  <c r="E35" i="11"/>
  <c r="D35" i="11"/>
  <c r="C35" i="11"/>
  <c r="B35" i="11"/>
  <c r="I34" i="11"/>
  <c r="H34" i="11"/>
  <c r="G34" i="11"/>
  <c r="F34" i="11"/>
  <c r="E34" i="11"/>
  <c r="D34" i="11"/>
  <c r="C34" i="11"/>
  <c r="B34" i="11"/>
  <c r="I33" i="11"/>
  <c r="H33" i="11"/>
  <c r="G33" i="11"/>
  <c r="F33" i="11"/>
  <c r="E33" i="11"/>
  <c r="D33" i="11"/>
  <c r="C33" i="11"/>
  <c r="B33" i="11"/>
  <c r="I32" i="11"/>
  <c r="H32" i="11"/>
  <c r="G32" i="11"/>
  <c r="F32" i="11"/>
  <c r="E32" i="11"/>
  <c r="D32" i="11"/>
  <c r="C32" i="11"/>
  <c r="B32" i="11"/>
  <c r="I31" i="11"/>
  <c r="H31" i="11"/>
  <c r="G31" i="11"/>
  <c r="F31" i="11"/>
  <c r="E31" i="11"/>
  <c r="D31" i="11"/>
  <c r="C31" i="11"/>
  <c r="B31" i="11"/>
  <c r="I30" i="11"/>
  <c r="H30" i="11"/>
  <c r="G30" i="11"/>
  <c r="F30" i="11"/>
  <c r="E30" i="11"/>
  <c r="D30" i="11"/>
  <c r="C30" i="11"/>
  <c r="B30" i="11"/>
  <c r="I29" i="11"/>
  <c r="H29" i="11"/>
  <c r="G29" i="11"/>
  <c r="F29" i="11"/>
  <c r="E29" i="11"/>
  <c r="D29" i="11"/>
  <c r="C29" i="11"/>
  <c r="B29" i="11"/>
  <c r="I28" i="11"/>
  <c r="H28" i="11"/>
  <c r="G28" i="11"/>
  <c r="F28" i="11"/>
  <c r="E28" i="11"/>
  <c r="D28" i="11"/>
  <c r="C28" i="11"/>
  <c r="B28" i="11"/>
  <c r="I27" i="11"/>
  <c r="H27" i="11"/>
  <c r="G27" i="11"/>
  <c r="F27" i="11"/>
  <c r="E27" i="11"/>
  <c r="D27" i="11"/>
  <c r="C27" i="11"/>
  <c r="B27" i="11"/>
  <c r="I26" i="11"/>
  <c r="H26" i="11"/>
  <c r="G26" i="11"/>
  <c r="F26" i="11"/>
  <c r="E26" i="11"/>
  <c r="D26" i="11"/>
  <c r="C26" i="11"/>
  <c r="B26" i="11"/>
  <c r="I25" i="11"/>
  <c r="H25" i="11"/>
  <c r="G25" i="11"/>
  <c r="F25" i="11"/>
  <c r="E25" i="11"/>
  <c r="D25" i="11"/>
  <c r="C25" i="11"/>
  <c r="B25" i="11"/>
  <c r="I24" i="11"/>
  <c r="H24" i="11"/>
  <c r="G24" i="11"/>
  <c r="F24" i="11"/>
  <c r="E24" i="11"/>
  <c r="D24" i="11"/>
  <c r="C24" i="11"/>
  <c r="B24" i="11"/>
  <c r="I23" i="11"/>
  <c r="H23" i="11"/>
  <c r="G23" i="11"/>
  <c r="F23" i="11"/>
  <c r="E23" i="11"/>
  <c r="D23" i="11"/>
  <c r="C23" i="11"/>
  <c r="B23" i="11"/>
  <c r="I22" i="11"/>
  <c r="H22" i="11"/>
  <c r="G22" i="11"/>
  <c r="F22" i="11"/>
  <c r="E22" i="11"/>
  <c r="D22" i="11"/>
  <c r="C22" i="11"/>
  <c r="B22" i="11"/>
  <c r="I21" i="11"/>
  <c r="H21" i="11"/>
  <c r="G21" i="11"/>
  <c r="F21" i="11"/>
  <c r="E21" i="11"/>
  <c r="D21" i="11"/>
  <c r="C21" i="11"/>
  <c r="B21" i="11"/>
  <c r="I20" i="11"/>
  <c r="H20" i="11"/>
  <c r="G20" i="11"/>
  <c r="F20" i="11"/>
  <c r="E20" i="11"/>
  <c r="D20" i="11"/>
  <c r="C20" i="11"/>
  <c r="B20" i="11"/>
  <c r="I19" i="11"/>
  <c r="H19" i="11"/>
  <c r="G19" i="11"/>
  <c r="F19" i="11"/>
  <c r="E19" i="11"/>
  <c r="D19" i="11"/>
  <c r="C19" i="11"/>
  <c r="B19" i="11"/>
  <c r="I18" i="11"/>
  <c r="H18" i="11"/>
  <c r="G18" i="11"/>
  <c r="F18" i="11"/>
  <c r="E18" i="11"/>
  <c r="D18" i="11"/>
  <c r="C18" i="11"/>
  <c r="B18" i="11"/>
  <c r="I17" i="11"/>
  <c r="H17" i="11"/>
  <c r="G17" i="11"/>
  <c r="F17" i="11"/>
  <c r="E17" i="11"/>
  <c r="D17" i="11"/>
  <c r="C17" i="11"/>
  <c r="B17" i="11"/>
  <c r="I16" i="11"/>
  <c r="H16" i="11"/>
  <c r="G16" i="11"/>
  <c r="F16" i="11"/>
  <c r="E16" i="11"/>
  <c r="D16" i="11"/>
  <c r="C16" i="11"/>
  <c r="B16" i="11"/>
  <c r="I15" i="11"/>
  <c r="H15" i="11"/>
  <c r="G15" i="11"/>
  <c r="F15" i="11"/>
  <c r="E15" i="11"/>
  <c r="D15" i="11"/>
  <c r="C15" i="11"/>
  <c r="B15" i="11"/>
  <c r="I14" i="11"/>
  <c r="H14" i="11"/>
  <c r="G14" i="11"/>
  <c r="F14" i="11"/>
  <c r="E14" i="11"/>
  <c r="D14" i="11"/>
  <c r="C14" i="11"/>
  <c r="B14" i="11"/>
  <c r="I13" i="11"/>
  <c r="H13" i="11"/>
  <c r="G13" i="11"/>
  <c r="F13" i="11"/>
  <c r="E13" i="11"/>
  <c r="D13" i="11"/>
  <c r="C13" i="11"/>
  <c r="B13" i="11"/>
  <c r="I12" i="11"/>
  <c r="H12" i="11"/>
  <c r="G12" i="11"/>
  <c r="F12" i="11"/>
  <c r="E12" i="11"/>
  <c r="D12" i="11"/>
  <c r="C12" i="11"/>
  <c r="B12" i="11"/>
  <c r="I11" i="11"/>
  <c r="H11" i="11"/>
  <c r="G11" i="11"/>
  <c r="F11" i="11"/>
  <c r="E11" i="11"/>
  <c r="D11" i="11"/>
  <c r="C11" i="11"/>
  <c r="B11" i="11"/>
  <c r="H10" i="11"/>
  <c r="G10" i="11"/>
  <c r="F10" i="11"/>
  <c r="E10" i="11"/>
  <c r="D10" i="11"/>
  <c r="C10" i="11"/>
  <c r="B10" i="11"/>
  <c r="H9" i="11"/>
  <c r="G9" i="11"/>
  <c r="F9" i="11"/>
  <c r="E9" i="11"/>
  <c r="D9" i="11"/>
  <c r="C9" i="11"/>
  <c r="B9" i="11"/>
  <c r="H8" i="11"/>
  <c r="G8" i="11"/>
  <c r="F8" i="11"/>
  <c r="E8" i="11"/>
  <c r="D8" i="11"/>
  <c r="C8" i="11"/>
  <c r="B8" i="11"/>
  <c r="H7" i="11"/>
  <c r="G7" i="11"/>
  <c r="F7" i="11"/>
  <c r="E7" i="11"/>
  <c r="D7" i="11"/>
  <c r="C7" i="11"/>
  <c r="B7" i="11"/>
  <c r="H6" i="11"/>
  <c r="G6" i="11"/>
  <c r="F6" i="11"/>
  <c r="E6" i="11"/>
  <c r="D6" i="11"/>
  <c r="C6" i="11"/>
  <c r="B6" i="11"/>
  <c r="H5" i="11"/>
  <c r="G5" i="11"/>
  <c r="F5" i="11"/>
  <c r="E5" i="11"/>
  <c r="D5" i="11"/>
  <c r="C5" i="11"/>
  <c r="B5" i="11"/>
  <c r="H4" i="11"/>
  <c r="G4" i="11"/>
  <c r="F4" i="11"/>
  <c r="E4" i="11"/>
  <c r="D4" i="11"/>
  <c r="C4" i="11"/>
  <c r="B4" i="11"/>
  <c r="H3" i="11"/>
  <c r="G3" i="11"/>
  <c r="F3" i="11"/>
  <c r="E3" i="11"/>
  <c r="D3" i="11"/>
  <c r="C3" i="11"/>
  <c r="B3" i="11"/>
  <c r="H2" i="11"/>
  <c r="G2" i="11"/>
  <c r="F2" i="11"/>
  <c r="E2" i="11"/>
  <c r="D2" i="11"/>
  <c r="C2" i="11"/>
  <c r="B2" i="11"/>
  <c r="C26" i="10"/>
  <c r="E13" i="1"/>
  <c r="N2" i="9" s="1"/>
  <c r="F214" i="9"/>
  <c r="F211" i="9"/>
  <c r="F90" i="9"/>
  <c r="C175" i="9"/>
  <c r="G68" i="9"/>
  <c r="C241" i="9"/>
  <c r="C240" i="9"/>
  <c r="C239" i="9"/>
  <c r="C237" i="9"/>
  <c r="C236" i="9"/>
  <c r="C235" i="9"/>
  <c r="C234" i="9"/>
  <c r="C233" i="9"/>
  <c r="C230" i="9"/>
  <c r="C229" i="9"/>
  <c r="C228" i="9"/>
  <c r="C226" i="9"/>
  <c r="C225" i="9"/>
  <c r="C224" i="9"/>
  <c r="C223" i="9"/>
  <c r="C222" i="9"/>
  <c r="C219" i="9"/>
  <c r="C218" i="9"/>
  <c r="C217" i="9"/>
  <c r="C215" i="9"/>
  <c r="C214" i="9"/>
  <c r="C213" i="9"/>
  <c r="C212" i="9"/>
  <c r="C211" i="9"/>
  <c r="C182" i="9"/>
  <c r="C208" i="9"/>
  <c r="C207" i="9"/>
  <c r="C206" i="9"/>
  <c r="C204" i="9"/>
  <c r="C203" i="9"/>
  <c r="C202" i="9"/>
  <c r="C201" i="9"/>
  <c r="C200" i="9"/>
  <c r="C197" i="9"/>
  <c r="C196" i="9"/>
  <c r="C195" i="9"/>
  <c r="C193" i="9"/>
  <c r="C192" i="9"/>
  <c r="C191" i="9"/>
  <c r="C190" i="9"/>
  <c r="C189" i="9"/>
  <c r="C186" i="9"/>
  <c r="C185" i="9"/>
  <c r="C184" i="9"/>
  <c r="C181" i="9"/>
  <c r="C180" i="9"/>
  <c r="C179" i="9"/>
  <c r="C178" i="9"/>
  <c r="C174" i="9"/>
  <c r="C173" i="9"/>
  <c r="C171" i="9"/>
  <c r="C170" i="9"/>
  <c r="C169" i="9"/>
  <c r="C168" i="9"/>
  <c r="C167" i="9"/>
  <c r="C164" i="9"/>
  <c r="C163" i="9"/>
  <c r="C162" i="9"/>
  <c r="C160" i="9"/>
  <c r="C159" i="9"/>
  <c r="C158" i="9"/>
  <c r="C157" i="9"/>
  <c r="C156" i="9"/>
  <c r="C109" i="9"/>
  <c r="C108" i="9"/>
  <c r="C107" i="9"/>
  <c r="C105" i="9"/>
  <c r="C104" i="9"/>
  <c r="C103" i="9"/>
  <c r="C102" i="9"/>
  <c r="C101" i="9"/>
  <c r="C98" i="9"/>
  <c r="C97" i="9"/>
  <c r="C96" i="9"/>
  <c r="C94" i="9"/>
  <c r="C93" i="9"/>
  <c r="C92" i="9"/>
  <c r="C91" i="9"/>
  <c r="C90" i="9"/>
  <c r="C79" i="9"/>
  <c r="C87" i="9"/>
  <c r="C86" i="9"/>
  <c r="C85" i="9"/>
  <c r="C83" i="9"/>
  <c r="C82" i="9"/>
  <c r="C81" i="9"/>
  <c r="C80" i="9"/>
  <c r="C72" i="9"/>
  <c r="G71" i="9"/>
  <c r="C68" i="9"/>
  <c r="H241" i="9"/>
  <c r="G241" i="9"/>
  <c r="B241" i="9"/>
  <c r="H240" i="9"/>
  <c r="G240" i="9"/>
  <c r="B240" i="9"/>
  <c r="H239" i="9"/>
  <c r="G239" i="9"/>
  <c r="B239" i="9"/>
  <c r="H238" i="9"/>
  <c r="G238" i="9"/>
  <c r="B238" i="9"/>
  <c r="H237" i="9"/>
  <c r="G237" i="9"/>
  <c r="B237" i="9"/>
  <c r="H236" i="9"/>
  <c r="G236" i="9"/>
  <c r="B236" i="9"/>
  <c r="H235" i="9"/>
  <c r="G235" i="9"/>
  <c r="B235" i="9"/>
  <c r="H234" i="9"/>
  <c r="G234" i="9"/>
  <c r="B234" i="9"/>
  <c r="H233" i="9"/>
  <c r="G233" i="9"/>
  <c r="B233" i="9"/>
  <c r="H230" i="9"/>
  <c r="G230" i="9"/>
  <c r="B230" i="9"/>
  <c r="H229" i="9"/>
  <c r="G229" i="9"/>
  <c r="B229" i="9"/>
  <c r="H228" i="9"/>
  <c r="G228" i="9"/>
  <c r="B228" i="9"/>
  <c r="H227" i="9"/>
  <c r="G227" i="9"/>
  <c r="B227" i="9"/>
  <c r="H226" i="9"/>
  <c r="G226" i="9"/>
  <c r="B226" i="9"/>
  <c r="H225" i="9"/>
  <c r="G225" i="9"/>
  <c r="B225" i="9"/>
  <c r="H224" i="9"/>
  <c r="G224" i="9"/>
  <c r="B224" i="9"/>
  <c r="H223" i="9"/>
  <c r="G223" i="9"/>
  <c r="B223" i="9"/>
  <c r="H222" i="9"/>
  <c r="G222" i="9"/>
  <c r="B222" i="9"/>
  <c r="H219" i="9"/>
  <c r="G219" i="9"/>
  <c r="B219" i="9"/>
  <c r="H218" i="9"/>
  <c r="G218" i="9"/>
  <c r="B218" i="9"/>
  <c r="H217" i="9"/>
  <c r="G217" i="9"/>
  <c r="B217" i="9"/>
  <c r="H216" i="9"/>
  <c r="G216" i="9"/>
  <c r="B216" i="9"/>
  <c r="H215" i="9"/>
  <c r="G215" i="9"/>
  <c r="B215" i="9"/>
  <c r="H214" i="9"/>
  <c r="G214" i="9"/>
  <c r="B214" i="9"/>
  <c r="H213" i="9"/>
  <c r="G213" i="9"/>
  <c r="B213" i="9"/>
  <c r="H212" i="9"/>
  <c r="G212" i="9"/>
  <c r="B212" i="9"/>
  <c r="H211" i="9"/>
  <c r="G211" i="9"/>
  <c r="B211" i="9"/>
  <c r="H208" i="9"/>
  <c r="G208" i="9"/>
  <c r="B208" i="9"/>
  <c r="H207" i="9"/>
  <c r="G207" i="9"/>
  <c r="B207" i="9"/>
  <c r="H206" i="9"/>
  <c r="G206" i="9"/>
  <c r="B206" i="9"/>
  <c r="H205" i="9"/>
  <c r="G205" i="9"/>
  <c r="B205" i="9"/>
  <c r="H204" i="9"/>
  <c r="G204" i="9"/>
  <c r="B204" i="9"/>
  <c r="H203" i="9"/>
  <c r="G203" i="9"/>
  <c r="B203" i="9"/>
  <c r="H202" i="9"/>
  <c r="G202" i="9"/>
  <c r="B202" i="9"/>
  <c r="H201" i="9"/>
  <c r="G201" i="9"/>
  <c r="B201" i="9"/>
  <c r="H200" i="9"/>
  <c r="G200" i="9"/>
  <c r="B200" i="9"/>
  <c r="H197" i="9"/>
  <c r="G197" i="9"/>
  <c r="B197" i="9"/>
  <c r="H196" i="9"/>
  <c r="G196" i="9"/>
  <c r="B196" i="9"/>
  <c r="H195" i="9"/>
  <c r="G195" i="9"/>
  <c r="B195" i="9"/>
  <c r="H194" i="9"/>
  <c r="G194" i="9"/>
  <c r="B194" i="9"/>
  <c r="H193" i="9"/>
  <c r="G193" i="9"/>
  <c r="B193" i="9"/>
  <c r="H192" i="9"/>
  <c r="G192" i="9"/>
  <c r="B192" i="9"/>
  <c r="H191" i="9"/>
  <c r="G191" i="9"/>
  <c r="B191" i="9"/>
  <c r="H190" i="9"/>
  <c r="G190" i="9"/>
  <c r="B190" i="9"/>
  <c r="H189" i="9"/>
  <c r="G189" i="9"/>
  <c r="B189" i="9"/>
  <c r="H186" i="9"/>
  <c r="G186" i="9"/>
  <c r="B186" i="9"/>
  <c r="H185" i="9"/>
  <c r="G185" i="9"/>
  <c r="B185" i="9"/>
  <c r="H184" i="9"/>
  <c r="G184" i="9"/>
  <c r="B184" i="9"/>
  <c r="H183" i="9"/>
  <c r="G183" i="9"/>
  <c r="B183" i="9"/>
  <c r="H182" i="9"/>
  <c r="G182" i="9"/>
  <c r="B182" i="9"/>
  <c r="H181" i="9"/>
  <c r="G181" i="9"/>
  <c r="B181" i="9"/>
  <c r="H180" i="9"/>
  <c r="G180" i="9"/>
  <c r="B180" i="9"/>
  <c r="H179" i="9"/>
  <c r="G179" i="9"/>
  <c r="B179" i="9"/>
  <c r="H178" i="9"/>
  <c r="G178" i="9"/>
  <c r="B178" i="9"/>
  <c r="H175" i="9"/>
  <c r="G175" i="9"/>
  <c r="B175" i="9"/>
  <c r="H174" i="9"/>
  <c r="G174" i="9"/>
  <c r="B174" i="9"/>
  <c r="H173" i="9"/>
  <c r="G173" i="9"/>
  <c r="B173" i="9"/>
  <c r="H172" i="9"/>
  <c r="G172" i="9"/>
  <c r="B172" i="9"/>
  <c r="H171" i="9"/>
  <c r="G171" i="9"/>
  <c r="B171" i="9"/>
  <c r="H170" i="9"/>
  <c r="G170" i="9"/>
  <c r="B170" i="9"/>
  <c r="H169" i="9"/>
  <c r="G169" i="9"/>
  <c r="B169" i="9"/>
  <c r="H168" i="9"/>
  <c r="G168" i="9"/>
  <c r="B168" i="9"/>
  <c r="H167" i="9"/>
  <c r="G167" i="9"/>
  <c r="B167" i="9"/>
  <c r="H164" i="9"/>
  <c r="G164" i="9"/>
  <c r="B164" i="9"/>
  <c r="H163" i="9"/>
  <c r="G163" i="9"/>
  <c r="B163" i="9"/>
  <c r="H162" i="9"/>
  <c r="G162" i="9"/>
  <c r="B162" i="9"/>
  <c r="H161" i="9"/>
  <c r="G161" i="9"/>
  <c r="B161" i="9"/>
  <c r="H160" i="9"/>
  <c r="G160" i="9"/>
  <c r="B160" i="9"/>
  <c r="H159" i="9"/>
  <c r="G159" i="9"/>
  <c r="B159" i="9"/>
  <c r="H158" i="9"/>
  <c r="G158" i="9"/>
  <c r="B158" i="9"/>
  <c r="H157" i="9"/>
  <c r="G157" i="9"/>
  <c r="B157" i="9"/>
  <c r="H156" i="9"/>
  <c r="G156" i="9"/>
  <c r="B156" i="9"/>
  <c r="H153" i="9"/>
  <c r="G153" i="9"/>
  <c r="B153" i="9"/>
  <c r="H152" i="9"/>
  <c r="G152" i="9"/>
  <c r="B152" i="9"/>
  <c r="H151" i="9"/>
  <c r="G151" i="9"/>
  <c r="B151" i="9"/>
  <c r="H150" i="9"/>
  <c r="G150" i="9"/>
  <c r="B150" i="9"/>
  <c r="H149" i="9"/>
  <c r="G149" i="9"/>
  <c r="B149" i="9"/>
  <c r="H148" i="9"/>
  <c r="G148" i="9"/>
  <c r="B148" i="9"/>
  <c r="H147" i="9"/>
  <c r="G147" i="9"/>
  <c r="B147" i="9"/>
  <c r="H146" i="9"/>
  <c r="G146" i="9"/>
  <c r="B146" i="9"/>
  <c r="H145" i="9"/>
  <c r="G145" i="9"/>
  <c r="B145" i="9"/>
  <c r="H142" i="9"/>
  <c r="G142" i="9"/>
  <c r="B142" i="9"/>
  <c r="H141" i="9"/>
  <c r="G141" i="9"/>
  <c r="B141" i="9"/>
  <c r="H140" i="9"/>
  <c r="G140" i="9"/>
  <c r="B140" i="9"/>
  <c r="H139" i="9"/>
  <c r="G139" i="9"/>
  <c r="B139" i="9"/>
  <c r="H138" i="9"/>
  <c r="G138" i="9"/>
  <c r="B138" i="9"/>
  <c r="H137" i="9"/>
  <c r="G137" i="9"/>
  <c r="B137" i="9"/>
  <c r="H136" i="9"/>
  <c r="G136" i="9"/>
  <c r="B136" i="9"/>
  <c r="H135" i="9"/>
  <c r="G135" i="9"/>
  <c r="B135" i="9"/>
  <c r="H134" i="9"/>
  <c r="G134" i="9"/>
  <c r="B134" i="9"/>
  <c r="H131" i="9"/>
  <c r="G131" i="9"/>
  <c r="B131" i="9"/>
  <c r="H130" i="9"/>
  <c r="G130" i="9"/>
  <c r="B130" i="9"/>
  <c r="H129" i="9"/>
  <c r="G129" i="9"/>
  <c r="B129" i="9"/>
  <c r="H128" i="9"/>
  <c r="G128" i="9"/>
  <c r="B128" i="9"/>
  <c r="H127" i="9"/>
  <c r="G127" i="9"/>
  <c r="B127" i="9"/>
  <c r="H126" i="9"/>
  <c r="G126" i="9"/>
  <c r="B126" i="9"/>
  <c r="H125" i="9"/>
  <c r="G125" i="9"/>
  <c r="B125" i="9"/>
  <c r="H124" i="9"/>
  <c r="G124" i="9"/>
  <c r="B124" i="9"/>
  <c r="H123" i="9"/>
  <c r="G123" i="9"/>
  <c r="B123" i="9"/>
  <c r="H120" i="9"/>
  <c r="G120" i="9"/>
  <c r="B120" i="9"/>
  <c r="H119" i="9"/>
  <c r="G119" i="9"/>
  <c r="B119" i="9"/>
  <c r="H118" i="9"/>
  <c r="G118" i="9"/>
  <c r="B118" i="9"/>
  <c r="H117" i="9"/>
  <c r="G117" i="9"/>
  <c r="B117" i="9"/>
  <c r="H116" i="9"/>
  <c r="G116" i="9"/>
  <c r="B116" i="9"/>
  <c r="H115" i="9"/>
  <c r="G115" i="9"/>
  <c r="B115" i="9"/>
  <c r="H114" i="9"/>
  <c r="G114" i="9"/>
  <c r="B114" i="9"/>
  <c r="H113" i="9"/>
  <c r="G113" i="9"/>
  <c r="B113" i="9"/>
  <c r="H112" i="9"/>
  <c r="G112" i="9"/>
  <c r="B112" i="9"/>
  <c r="H109" i="9"/>
  <c r="G109" i="9"/>
  <c r="B109" i="9"/>
  <c r="H108" i="9"/>
  <c r="G108" i="9"/>
  <c r="B108" i="9"/>
  <c r="H107" i="9"/>
  <c r="G107" i="9"/>
  <c r="B107" i="9"/>
  <c r="H106" i="9"/>
  <c r="G106" i="9"/>
  <c r="B106" i="9"/>
  <c r="H105" i="9"/>
  <c r="G105" i="9"/>
  <c r="B105" i="9"/>
  <c r="H104" i="9"/>
  <c r="G104" i="9"/>
  <c r="B104" i="9"/>
  <c r="H103" i="9"/>
  <c r="G103" i="9"/>
  <c r="B103" i="9"/>
  <c r="H102" i="9"/>
  <c r="G102" i="9"/>
  <c r="B102" i="9"/>
  <c r="H101" i="9"/>
  <c r="G101" i="9"/>
  <c r="B101" i="9"/>
  <c r="H98" i="9"/>
  <c r="G98" i="9"/>
  <c r="B98" i="9"/>
  <c r="H97" i="9"/>
  <c r="G97" i="9"/>
  <c r="B97" i="9"/>
  <c r="H96" i="9"/>
  <c r="G96" i="9"/>
  <c r="B96" i="9"/>
  <c r="H95" i="9"/>
  <c r="G95" i="9"/>
  <c r="B95" i="9"/>
  <c r="H94" i="9"/>
  <c r="G94" i="9"/>
  <c r="B94" i="9"/>
  <c r="H93" i="9"/>
  <c r="G93" i="9"/>
  <c r="B93" i="9"/>
  <c r="H92" i="9"/>
  <c r="G92" i="9"/>
  <c r="B92" i="9"/>
  <c r="H91" i="9"/>
  <c r="G91" i="9"/>
  <c r="B91" i="9"/>
  <c r="H90" i="9"/>
  <c r="G90" i="9"/>
  <c r="B90" i="9"/>
  <c r="H87" i="9"/>
  <c r="H86" i="9"/>
  <c r="H85" i="9"/>
  <c r="H84" i="9"/>
  <c r="H83" i="9"/>
  <c r="H82" i="9"/>
  <c r="H81" i="9"/>
  <c r="H80" i="9"/>
  <c r="H79" i="9"/>
  <c r="H68" i="9"/>
  <c r="G87" i="9"/>
  <c r="G86" i="9"/>
  <c r="G85" i="9"/>
  <c r="G84" i="9"/>
  <c r="G83" i="9"/>
  <c r="G82" i="9"/>
  <c r="G81" i="9"/>
  <c r="G80" i="9"/>
  <c r="G79" i="9"/>
  <c r="B87" i="9"/>
  <c r="B86" i="9"/>
  <c r="B85" i="9"/>
  <c r="B84" i="9"/>
  <c r="B83" i="9"/>
  <c r="B82" i="9"/>
  <c r="B81" i="9"/>
  <c r="B80" i="9"/>
  <c r="B79" i="9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C13" i="3"/>
  <c r="D13" i="3"/>
  <c r="E13" i="3"/>
  <c r="N4" i="9" s="1"/>
  <c r="F13" i="3"/>
  <c r="G13" i="3"/>
  <c r="H13" i="3"/>
  <c r="I13" i="3"/>
  <c r="J13" i="3"/>
  <c r="K13" i="3"/>
  <c r="L13" i="3"/>
  <c r="B37" i="9" s="1"/>
  <c r="M13" i="3"/>
  <c r="H37" i="9" s="1"/>
  <c r="N13" i="3"/>
  <c r="N37" i="9" s="1"/>
  <c r="F208" i="9" s="1"/>
  <c r="O13" i="3"/>
  <c r="P13" i="3"/>
  <c r="H48" i="9" s="1"/>
  <c r="Q13" i="3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C13" i="1"/>
  <c r="D13" i="1"/>
  <c r="F13" i="1"/>
  <c r="G13" i="1"/>
  <c r="H13" i="1"/>
  <c r="I13" i="1"/>
  <c r="J13" i="1"/>
  <c r="K13" i="1"/>
  <c r="L13" i="1"/>
  <c r="M13" i="1"/>
  <c r="N13" i="1"/>
  <c r="O13" i="1"/>
  <c r="P13" i="1"/>
  <c r="Q13" i="1"/>
  <c r="H69" i="9"/>
  <c r="H70" i="9"/>
  <c r="H71" i="9"/>
  <c r="H72" i="9"/>
  <c r="H73" i="9"/>
  <c r="H74" i="9"/>
  <c r="H75" i="9"/>
  <c r="H76" i="9"/>
  <c r="B73" i="9"/>
  <c r="B68" i="9"/>
  <c r="G69" i="9"/>
  <c r="G70" i="9"/>
  <c r="G72" i="9"/>
  <c r="G73" i="9"/>
  <c r="G74" i="9"/>
  <c r="G75" i="9"/>
  <c r="G76" i="9"/>
  <c r="B69" i="9"/>
  <c r="B70" i="9"/>
  <c r="B71" i="9"/>
  <c r="B72" i="9"/>
  <c r="B74" i="9"/>
  <c r="B75" i="9"/>
  <c r="B76" i="9"/>
  <c r="C69" i="9"/>
  <c r="C71" i="9"/>
  <c r="C74" i="9"/>
  <c r="C75" i="9"/>
  <c r="C76" i="9"/>
  <c r="D58" i="9"/>
  <c r="D60" i="9"/>
  <c r="D61" i="9"/>
  <c r="D63" i="9"/>
  <c r="D64" i="9"/>
  <c r="D65" i="9"/>
  <c r="D57" i="9"/>
  <c r="K10" i="9"/>
  <c r="E10" i="9"/>
  <c r="D10" i="9"/>
  <c r="B10" i="9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Q28" i="10"/>
  <c r="P54" i="9" s="1"/>
  <c r="P28" i="10"/>
  <c r="J54" i="9" s="1"/>
  <c r="O28" i="10"/>
  <c r="D54" i="9" s="1"/>
  <c r="N28" i="10"/>
  <c r="P43" i="9" s="1"/>
  <c r="M28" i="10"/>
  <c r="J43" i="9" s="1"/>
  <c r="L28" i="10"/>
  <c r="D43" i="9" s="1"/>
  <c r="K28" i="10"/>
  <c r="P32" i="9" s="1"/>
  <c r="J28" i="10"/>
  <c r="J32" i="9" s="1"/>
  <c r="I28" i="10"/>
  <c r="D32" i="9" s="1"/>
  <c r="H28" i="10"/>
  <c r="P21" i="9" s="1"/>
  <c r="G28" i="10"/>
  <c r="J21" i="9" s="1"/>
  <c r="F28" i="10"/>
  <c r="D21" i="9" s="1"/>
  <c r="E28" i="10"/>
  <c r="D28" i="10"/>
  <c r="J10" i="9" s="1"/>
  <c r="C28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Q20" i="10"/>
  <c r="Q31" i="10" s="1"/>
  <c r="Q54" i="9" s="1"/>
  <c r="P20" i="10"/>
  <c r="P31" i="10" s="1"/>
  <c r="K54" i="9" s="1"/>
  <c r="O20" i="10"/>
  <c r="O31" i="10" s="1"/>
  <c r="E54" i="9" s="1"/>
  <c r="N20" i="10"/>
  <c r="N31" i="10" s="1"/>
  <c r="Q43" i="9" s="1"/>
  <c r="M20" i="10"/>
  <c r="M31" i="10" s="1"/>
  <c r="K43" i="9" s="1"/>
  <c r="L20" i="10"/>
  <c r="L31" i="10" s="1"/>
  <c r="E43" i="9" s="1"/>
  <c r="K20" i="10"/>
  <c r="K31" i="10" s="1"/>
  <c r="Q32" i="9" s="1"/>
  <c r="J20" i="10"/>
  <c r="J31" i="10" s="1"/>
  <c r="K32" i="9" s="1"/>
  <c r="I20" i="10"/>
  <c r="I31" i="10" s="1"/>
  <c r="E32" i="9" s="1"/>
  <c r="H20" i="10"/>
  <c r="H31" i="10" s="1"/>
  <c r="Q21" i="9" s="1"/>
  <c r="G20" i="10"/>
  <c r="G31" i="10" s="1"/>
  <c r="K21" i="9" s="1"/>
  <c r="F20" i="10"/>
  <c r="F31" i="10" s="1"/>
  <c r="E21" i="9" s="1"/>
  <c r="E20" i="10"/>
  <c r="E31" i="10" s="1"/>
  <c r="D20" i="10"/>
  <c r="D31" i="10" s="1"/>
  <c r="C20" i="10"/>
  <c r="C31" i="10" s="1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Q16" i="10"/>
  <c r="Q26" i="10" s="1"/>
  <c r="O54" i="9" s="1"/>
  <c r="P16" i="10"/>
  <c r="P26" i="10" s="1"/>
  <c r="I54" i="9" s="1"/>
  <c r="O16" i="10"/>
  <c r="O26" i="10" s="1"/>
  <c r="C54" i="9" s="1"/>
  <c r="N16" i="10"/>
  <c r="N26" i="10" s="1"/>
  <c r="O43" i="9" s="1"/>
  <c r="M16" i="10"/>
  <c r="M26" i="10" s="1"/>
  <c r="I43" i="9" s="1"/>
  <c r="L16" i="10"/>
  <c r="L26" i="10" s="1"/>
  <c r="C43" i="9" s="1"/>
  <c r="K16" i="10"/>
  <c r="K26" i="10" s="1"/>
  <c r="O32" i="9" s="1"/>
  <c r="J16" i="10"/>
  <c r="J26" i="10" s="1"/>
  <c r="I32" i="9" s="1"/>
  <c r="I16" i="10"/>
  <c r="I26" i="10" s="1"/>
  <c r="C32" i="9" s="1"/>
  <c r="H16" i="10"/>
  <c r="H26" i="10" s="1"/>
  <c r="O21" i="9" s="1"/>
  <c r="G16" i="10"/>
  <c r="G26" i="10" s="1"/>
  <c r="I21" i="9" s="1"/>
  <c r="F16" i="10"/>
  <c r="F26" i="10" s="1"/>
  <c r="C21" i="9" s="1"/>
  <c r="E16" i="10"/>
  <c r="E26" i="10" s="1"/>
  <c r="D16" i="10"/>
  <c r="D26" i="10" s="1"/>
  <c r="I10" i="9" s="1"/>
  <c r="C16" i="10"/>
  <c r="C10" i="9" s="1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N54" i="9"/>
  <c r="H54" i="9"/>
  <c r="B54" i="9"/>
  <c r="N43" i="9"/>
  <c r="H43" i="9"/>
  <c r="B43" i="9"/>
  <c r="N32" i="9"/>
  <c r="H32" i="9"/>
  <c r="B32" i="9"/>
  <c r="N21" i="9"/>
  <c r="H21" i="9"/>
  <c r="B21" i="9"/>
  <c r="H10" i="9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Q31" i="5"/>
  <c r="P31" i="5"/>
  <c r="O31" i="5"/>
  <c r="N31" i="5"/>
  <c r="M31" i="5"/>
  <c r="L31" i="5"/>
  <c r="K31" i="5"/>
  <c r="J31" i="5"/>
  <c r="Q31" i="4"/>
  <c r="P31" i="4"/>
  <c r="O31" i="4"/>
  <c r="N31" i="4"/>
  <c r="M31" i="4"/>
  <c r="L31" i="4"/>
  <c r="K31" i="4"/>
  <c r="J31" i="4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Q26" i="5"/>
  <c r="P26" i="5"/>
  <c r="O26" i="5"/>
  <c r="N26" i="5"/>
  <c r="M26" i="5"/>
  <c r="L26" i="5"/>
  <c r="K26" i="5"/>
  <c r="J26" i="5"/>
  <c r="Q26" i="4"/>
  <c r="P26" i="4"/>
  <c r="O26" i="4"/>
  <c r="N26" i="4"/>
  <c r="M26" i="4"/>
  <c r="L26" i="4"/>
  <c r="K26" i="4"/>
  <c r="J26" i="4"/>
  <c r="O26" i="3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Q31" i="1"/>
  <c r="P31" i="1"/>
  <c r="O31" i="1"/>
  <c r="N31" i="1"/>
  <c r="M31" i="1"/>
  <c r="L31" i="1"/>
  <c r="K31" i="1"/>
  <c r="Q26" i="1"/>
  <c r="P26" i="1"/>
  <c r="O26" i="1"/>
  <c r="N26" i="1"/>
  <c r="M26" i="1"/>
  <c r="L26" i="1"/>
  <c r="K26" i="1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K17" i="9"/>
  <c r="P51" i="9"/>
  <c r="J51" i="9"/>
  <c r="D51" i="9"/>
  <c r="P40" i="9"/>
  <c r="J40" i="9"/>
  <c r="D40" i="9"/>
  <c r="P29" i="9"/>
  <c r="J29" i="9"/>
  <c r="D29" i="9"/>
  <c r="P18" i="9"/>
  <c r="J18" i="9"/>
  <c r="D18" i="9"/>
  <c r="P7" i="9"/>
  <c r="J7" i="9"/>
  <c r="D7" i="9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Q28" i="8"/>
  <c r="P53" i="9" s="1"/>
  <c r="P28" i="8"/>
  <c r="J53" i="9" s="1"/>
  <c r="O28" i="8"/>
  <c r="D53" i="9" s="1"/>
  <c r="N28" i="8"/>
  <c r="P42" i="9" s="1"/>
  <c r="M28" i="8"/>
  <c r="J42" i="9" s="1"/>
  <c r="L28" i="8"/>
  <c r="D42" i="9" s="1"/>
  <c r="K28" i="8"/>
  <c r="P31" i="9" s="1"/>
  <c r="J28" i="8"/>
  <c r="J31" i="9" s="1"/>
  <c r="I28" i="8"/>
  <c r="D31" i="9" s="1"/>
  <c r="H28" i="8"/>
  <c r="P20" i="9" s="1"/>
  <c r="G28" i="8"/>
  <c r="J20" i="9" s="1"/>
  <c r="F28" i="8"/>
  <c r="D20" i="9" s="1"/>
  <c r="E28" i="8"/>
  <c r="P9" i="9" s="1"/>
  <c r="D28" i="8"/>
  <c r="J9" i="9" s="1"/>
  <c r="C28" i="8"/>
  <c r="D9" i="9" s="1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N53" i="9"/>
  <c r="H53" i="9"/>
  <c r="B53" i="9"/>
  <c r="N42" i="9"/>
  <c r="H42" i="9"/>
  <c r="B42" i="9"/>
  <c r="N31" i="9"/>
  <c r="H31" i="9"/>
  <c r="B31" i="9"/>
  <c r="N20" i="9"/>
  <c r="H20" i="9"/>
  <c r="B20" i="9"/>
  <c r="N9" i="9"/>
  <c r="H9" i="9"/>
  <c r="B9" i="9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Q28" i="7"/>
  <c r="P52" i="9" s="1"/>
  <c r="P28" i="7"/>
  <c r="J52" i="9" s="1"/>
  <c r="O28" i="7"/>
  <c r="D52" i="9" s="1"/>
  <c r="N28" i="7"/>
  <c r="P41" i="9" s="1"/>
  <c r="M28" i="7"/>
  <c r="J41" i="9" s="1"/>
  <c r="L28" i="7"/>
  <c r="D41" i="9" s="1"/>
  <c r="K28" i="7"/>
  <c r="P30" i="9" s="1"/>
  <c r="J28" i="7"/>
  <c r="J30" i="9" s="1"/>
  <c r="I28" i="7"/>
  <c r="D30" i="9" s="1"/>
  <c r="H28" i="7"/>
  <c r="P19" i="9" s="1"/>
  <c r="G28" i="7"/>
  <c r="J19" i="9" s="1"/>
  <c r="F28" i="7"/>
  <c r="D19" i="9" s="1"/>
  <c r="E28" i="7"/>
  <c r="P8" i="9" s="1"/>
  <c r="D28" i="7"/>
  <c r="J8" i="9" s="1"/>
  <c r="C28" i="7"/>
  <c r="D8" i="9" s="1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N52" i="9"/>
  <c r="H52" i="9"/>
  <c r="B52" i="9"/>
  <c r="N41" i="9"/>
  <c r="H41" i="9"/>
  <c r="B41" i="9"/>
  <c r="N30" i="9"/>
  <c r="H30" i="9"/>
  <c r="B30" i="9"/>
  <c r="N19" i="9"/>
  <c r="H19" i="9"/>
  <c r="B19" i="9"/>
  <c r="N8" i="9"/>
  <c r="H8" i="9"/>
  <c r="B8" i="9"/>
  <c r="B63" i="9" s="1"/>
  <c r="Q29" i="6"/>
  <c r="P29" i="6"/>
  <c r="D29" i="6"/>
  <c r="C29" i="6"/>
  <c r="Q25" i="6"/>
  <c r="P25" i="6"/>
  <c r="Q24" i="6"/>
  <c r="P24" i="6"/>
  <c r="Q23" i="6"/>
  <c r="P23" i="6"/>
  <c r="Q22" i="6"/>
  <c r="P22" i="6"/>
  <c r="Q20" i="6"/>
  <c r="P20" i="6"/>
  <c r="Q19" i="6"/>
  <c r="P19" i="6"/>
  <c r="Q18" i="6"/>
  <c r="P18" i="6"/>
  <c r="Q17" i="6"/>
  <c r="P17" i="6"/>
  <c r="Q16" i="6"/>
  <c r="P16" i="6"/>
  <c r="Q15" i="6"/>
  <c r="P15" i="6"/>
  <c r="D25" i="6"/>
  <c r="C25" i="6"/>
  <c r="D24" i="6"/>
  <c r="C24" i="6"/>
  <c r="D23" i="6"/>
  <c r="C23" i="6"/>
  <c r="D22" i="6"/>
  <c r="C22" i="6"/>
  <c r="D20" i="6"/>
  <c r="C20" i="6"/>
  <c r="D19" i="6"/>
  <c r="C19" i="6"/>
  <c r="D18" i="6"/>
  <c r="C18" i="6"/>
  <c r="D17" i="6"/>
  <c r="C17" i="6"/>
  <c r="D16" i="6"/>
  <c r="C16" i="6"/>
  <c r="D15" i="6"/>
  <c r="C15" i="6"/>
  <c r="O23" i="6"/>
  <c r="N23" i="6"/>
  <c r="M23" i="6"/>
  <c r="L23" i="6"/>
  <c r="K23" i="6"/>
  <c r="J23" i="6"/>
  <c r="I23" i="6"/>
  <c r="H23" i="6"/>
  <c r="G23" i="6"/>
  <c r="F23" i="6"/>
  <c r="E23" i="6"/>
  <c r="O22" i="6"/>
  <c r="N22" i="6"/>
  <c r="M22" i="6"/>
  <c r="L22" i="6"/>
  <c r="K22" i="6"/>
  <c r="J22" i="6"/>
  <c r="I22" i="6"/>
  <c r="H22" i="6"/>
  <c r="G22" i="6"/>
  <c r="F22" i="6"/>
  <c r="E22" i="6"/>
  <c r="N51" i="9"/>
  <c r="H51" i="9"/>
  <c r="B51" i="9"/>
  <c r="N40" i="9"/>
  <c r="H40" i="9"/>
  <c r="B40" i="9"/>
  <c r="H29" i="9"/>
  <c r="B29" i="9"/>
  <c r="N18" i="9"/>
  <c r="H18" i="9"/>
  <c r="B18" i="9"/>
  <c r="N7" i="9"/>
  <c r="H7" i="9"/>
  <c r="B7" i="9"/>
  <c r="N50" i="9"/>
  <c r="H50" i="9"/>
  <c r="B50" i="9"/>
  <c r="N39" i="9"/>
  <c r="H39" i="9"/>
  <c r="B39" i="9"/>
  <c r="N28" i="9"/>
  <c r="H28" i="9"/>
  <c r="B28" i="9"/>
  <c r="N17" i="9"/>
  <c r="H17" i="9"/>
  <c r="B17" i="9"/>
  <c r="N6" i="9"/>
  <c r="H6" i="9"/>
  <c r="B6" i="9"/>
  <c r="B61" i="9" s="1"/>
  <c r="N48" i="9"/>
  <c r="F241" i="9" s="1"/>
  <c r="B48" i="9"/>
  <c r="F213" i="9" s="1"/>
  <c r="N26" i="9"/>
  <c r="H26" i="9"/>
  <c r="B26" i="9"/>
  <c r="N15" i="9"/>
  <c r="H15" i="9"/>
  <c r="B15" i="9"/>
  <c r="H4" i="9"/>
  <c r="F96" i="9" s="1"/>
  <c r="B4" i="9"/>
  <c r="F83" i="9" s="1"/>
  <c r="N47" i="9"/>
  <c r="H47" i="9"/>
  <c r="B47" i="9"/>
  <c r="N36" i="9"/>
  <c r="H36" i="9"/>
  <c r="B36" i="9"/>
  <c r="N25" i="9"/>
  <c r="H25" i="9"/>
  <c r="B25" i="9"/>
  <c r="N14" i="9"/>
  <c r="H14" i="9"/>
  <c r="B14" i="9"/>
  <c r="N3" i="9"/>
  <c r="H3" i="9"/>
  <c r="B3" i="9"/>
  <c r="B58" i="9" s="1"/>
  <c r="N46" i="9"/>
  <c r="H46" i="9"/>
  <c r="B46" i="9"/>
  <c r="N35" i="9"/>
  <c r="H35" i="9"/>
  <c r="B35" i="9"/>
  <c r="H24" i="9"/>
  <c r="B24" i="9"/>
  <c r="N13" i="9"/>
  <c r="H13" i="9"/>
  <c r="B13" i="9"/>
  <c r="H2" i="9"/>
  <c r="B2" i="9"/>
  <c r="N49" i="9"/>
  <c r="H49" i="9"/>
  <c r="B49" i="9"/>
  <c r="N38" i="9"/>
  <c r="H38" i="9"/>
  <c r="B38" i="9"/>
  <c r="N27" i="9"/>
  <c r="H27" i="9"/>
  <c r="B27" i="9"/>
  <c r="N16" i="9"/>
  <c r="H16" i="9"/>
  <c r="B16" i="9"/>
  <c r="N5" i="9"/>
  <c r="H5" i="9"/>
  <c r="B5" i="9"/>
  <c r="B60" i="9" s="1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Q29" i="5"/>
  <c r="P29" i="5"/>
  <c r="Q28" i="5"/>
  <c r="P50" i="9" s="1"/>
  <c r="P28" i="5"/>
  <c r="J50" i="9" s="1"/>
  <c r="Q25" i="5"/>
  <c r="P25" i="5"/>
  <c r="Q24" i="5"/>
  <c r="P24" i="5"/>
  <c r="Q20" i="5"/>
  <c r="P20" i="5"/>
  <c r="Q19" i="5"/>
  <c r="P19" i="5"/>
  <c r="Q18" i="5"/>
  <c r="P18" i="5"/>
  <c r="Q17" i="5"/>
  <c r="P17" i="5"/>
  <c r="Q16" i="5"/>
  <c r="P16" i="5"/>
  <c r="Q15" i="5"/>
  <c r="P15" i="5"/>
  <c r="D29" i="5"/>
  <c r="C29" i="5"/>
  <c r="D28" i="5"/>
  <c r="J6" i="9" s="1"/>
  <c r="C28" i="5"/>
  <c r="D6" i="9" s="1"/>
  <c r="D25" i="5"/>
  <c r="C25" i="5"/>
  <c r="D24" i="5"/>
  <c r="C24" i="5"/>
  <c r="D20" i="5"/>
  <c r="C20" i="5"/>
  <c r="D19" i="5"/>
  <c r="C19" i="5"/>
  <c r="D18" i="5"/>
  <c r="C18" i="5"/>
  <c r="D17" i="5"/>
  <c r="C17" i="5"/>
  <c r="D16" i="5"/>
  <c r="C16" i="5"/>
  <c r="D15" i="5"/>
  <c r="C15" i="5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Q29" i="4"/>
  <c r="P29" i="4"/>
  <c r="Q28" i="4"/>
  <c r="P49" i="9" s="1"/>
  <c r="P28" i="4"/>
  <c r="J49" i="9" s="1"/>
  <c r="Q25" i="4"/>
  <c r="P25" i="4"/>
  <c r="Q24" i="4"/>
  <c r="P24" i="4"/>
  <c r="Q20" i="4"/>
  <c r="P20" i="4"/>
  <c r="Q19" i="4"/>
  <c r="P19" i="4"/>
  <c r="Q18" i="4"/>
  <c r="P18" i="4"/>
  <c r="Q17" i="4"/>
  <c r="P17" i="4"/>
  <c r="Q16" i="4"/>
  <c r="P16" i="4"/>
  <c r="Q15" i="4"/>
  <c r="P15" i="4"/>
  <c r="D29" i="4"/>
  <c r="C29" i="4"/>
  <c r="D28" i="4"/>
  <c r="J5" i="9" s="1"/>
  <c r="C28" i="4"/>
  <c r="D5" i="9" s="1"/>
  <c r="D25" i="4"/>
  <c r="C25" i="4"/>
  <c r="D24" i="4"/>
  <c r="C24" i="4"/>
  <c r="D20" i="4"/>
  <c r="C20" i="4"/>
  <c r="D19" i="4"/>
  <c r="C19" i="4"/>
  <c r="D18" i="4"/>
  <c r="C18" i="4"/>
  <c r="D17" i="4"/>
  <c r="C17" i="4"/>
  <c r="D16" i="4"/>
  <c r="C16" i="4"/>
  <c r="D15" i="4"/>
  <c r="C15" i="4"/>
  <c r="Q23" i="3"/>
  <c r="Q31" i="3" s="1"/>
  <c r="P23" i="3"/>
  <c r="P31" i="3" s="1"/>
  <c r="O23" i="3"/>
  <c r="O31" i="3" s="1"/>
  <c r="N23" i="3"/>
  <c r="N31" i="3" s="1"/>
  <c r="M23" i="3"/>
  <c r="L23" i="3"/>
  <c r="L31" i="3" s="1"/>
  <c r="K23" i="3"/>
  <c r="J23" i="3"/>
  <c r="I23" i="3"/>
  <c r="H23" i="3"/>
  <c r="G23" i="3"/>
  <c r="F23" i="3"/>
  <c r="E23" i="3"/>
  <c r="D23" i="3"/>
  <c r="C23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Q29" i="3"/>
  <c r="P29" i="3"/>
  <c r="Q28" i="3"/>
  <c r="P48" i="9" s="1"/>
  <c r="P28" i="3"/>
  <c r="J48" i="9" s="1"/>
  <c r="Q25" i="3"/>
  <c r="P25" i="3"/>
  <c r="Q24" i="3"/>
  <c r="P24" i="3"/>
  <c r="Q20" i="3"/>
  <c r="P20" i="3"/>
  <c r="Q19" i="3"/>
  <c r="P19" i="3"/>
  <c r="Q18" i="3"/>
  <c r="Q26" i="3" s="1"/>
  <c r="P18" i="3"/>
  <c r="P26" i="3" s="1"/>
  <c r="Q17" i="3"/>
  <c r="P17" i="3"/>
  <c r="Q16" i="3"/>
  <c r="P16" i="3"/>
  <c r="Q15" i="3"/>
  <c r="P15" i="3"/>
  <c r="D29" i="3"/>
  <c r="C29" i="3"/>
  <c r="D28" i="3"/>
  <c r="J4" i="9" s="1"/>
  <c r="C28" i="3"/>
  <c r="D4" i="9" s="1"/>
  <c r="D25" i="3"/>
  <c r="C25" i="3"/>
  <c r="D24" i="3"/>
  <c r="C24" i="3"/>
  <c r="D20" i="3"/>
  <c r="C20" i="3"/>
  <c r="D19" i="3"/>
  <c r="C19" i="3"/>
  <c r="D18" i="3"/>
  <c r="C18" i="3"/>
  <c r="D17" i="3"/>
  <c r="C17" i="3"/>
  <c r="D16" i="3"/>
  <c r="C16" i="3"/>
  <c r="D15" i="3"/>
  <c r="C15" i="3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Q29" i="2"/>
  <c r="P29" i="2"/>
  <c r="Q28" i="2"/>
  <c r="P47" i="9" s="1"/>
  <c r="P28" i="2"/>
  <c r="J47" i="9" s="1"/>
  <c r="Q25" i="2"/>
  <c r="P25" i="2"/>
  <c r="Q24" i="2"/>
  <c r="P24" i="2"/>
  <c r="Q20" i="2"/>
  <c r="Q47" i="9" s="1"/>
  <c r="P20" i="2"/>
  <c r="K47" i="9" s="1"/>
  <c r="Q19" i="2"/>
  <c r="P19" i="2"/>
  <c r="Q18" i="2"/>
  <c r="P18" i="2"/>
  <c r="Q17" i="2"/>
  <c r="P17" i="2"/>
  <c r="Q16" i="2"/>
  <c r="O47" i="9" s="1"/>
  <c r="P16" i="2"/>
  <c r="I47" i="9" s="1"/>
  <c r="Q15" i="2"/>
  <c r="P15" i="2"/>
  <c r="D29" i="2"/>
  <c r="C29" i="2"/>
  <c r="D28" i="2"/>
  <c r="J3" i="9" s="1"/>
  <c r="C28" i="2"/>
  <c r="D3" i="9" s="1"/>
  <c r="D25" i="2"/>
  <c r="C25" i="2"/>
  <c r="D24" i="2"/>
  <c r="C24" i="2"/>
  <c r="D20" i="2"/>
  <c r="K3" i="9" s="1"/>
  <c r="C20" i="2"/>
  <c r="D19" i="2"/>
  <c r="C19" i="2"/>
  <c r="D18" i="2"/>
  <c r="C18" i="2"/>
  <c r="D17" i="2"/>
  <c r="C17" i="2"/>
  <c r="D16" i="2"/>
  <c r="I3" i="9" s="1"/>
  <c r="C16" i="2"/>
  <c r="D15" i="2"/>
  <c r="C15" i="2"/>
  <c r="Q28" i="1"/>
  <c r="P46" i="9" s="1"/>
  <c r="P28" i="1"/>
  <c r="J46" i="9" s="1"/>
  <c r="Q25" i="1"/>
  <c r="P25" i="1"/>
  <c r="Q24" i="1"/>
  <c r="P24" i="1"/>
  <c r="Q20" i="1"/>
  <c r="P20" i="1"/>
  <c r="Q19" i="1"/>
  <c r="P19" i="1"/>
  <c r="Q18" i="1"/>
  <c r="P18" i="1"/>
  <c r="Q17" i="1"/>
  <c r="P17" i="1"/>
  <c r="Q16" i="1"/>
  <c r="P16" i="1"/>
  <c r="Q15" i="1"/>
  <c r="P15" i="1"/>
  <c r="D28" i="1"/>
  <c r="J2" i="9" s="1"/>
  <c r="C28" i="1"/>
  <c r="D2" i="9" s="1"/>
  <c r="D25" i="1"/>
  <c r="C25" i="1"/>
  <c r="D24" i="1"/>
  <c r="C24" i="1"/>
  <c r="D20" i="1"/>
  <c r="C20" i="1"/>
  <c r="D19" i="1"/>
  <c r="C19" i="1"/>
  <c r="D18" i="1"/>
  <c r="C18" i="1"/>
  <c r="D17" i="1"/>
  <c r="C17" i="1"/>
  <c r="D16" i="1"/>
  <c r="C16" i="1"/>
  <c r="D15" i="1"/>
  <c r="C15" i="1"/>
  <c r="F28" i="1"/>
  <c r="D13" i="9" s="1"/>
  <c r="G28" i="1"/>
  <c r="J13" i="9" s="1"/>
  <c r="H28" i="1"/>
  <c r="P13" i="9" s="1"/>
  <c r="I28" i="1"/>
  <c r="D24" i="9" s="1"/>
  <c r="J28" i="1"/>
  <c r="J24" i="9" s="1"/>
  <c r="K28" i="1"/>
  <c r="P24" i="9" s="1"/>
  <c r="L28" i="1"/>
  <c r="D35" i="9" s="1"/>
  <c r="M28" i="1"/>
  <c r="J35" i="9" s="1"/>
  <c r="N28" i="1"/>
  <c r="P35" i="9" s="1"/>
  <c r="O28" i="1"/>
  <c r="D46" i="9" s="1"/>
  <c r="E28" i="1"/>
  <c r="P2" i="9" s="1"/>
  <c r="F15" i="1"/>
  <c r="G15" i="1"/>
  <c r="H15" i="1"/>
  <c r="I15" i="1"/>
  <c r="J15" i="1"/>
  <c r="K15" i="1"/>
  <c r="L15" i="1"/>
  <c r="M15" i="1"/>
  <c r="N15" i="1"/>
  <c r="O15" i="1"/>
  <c r="F16" i="1"/>
  <c r="G16" i="1"/>
  <c r="H16" i="1"/>
  <c r="I16" i="1"/>
  <c r="J16" i="1"/>
  <c r="K16" i="1"/>
  <c r="L16" i="1"/>
  <c r="M16" i="1"/>
  <c r="N16" i="1"/>
  <c r="O16" i="1"/>
  <c r="F17" i="1"/>
  <c r="G17" i="1"/>
  <c r="H17" i="1"/>
  <c r="I17" i="1"/>
  <c r="J17" i="1"/>
  <c r="K17" i="1"/>
  <c r="L17" i="1"/>
  <c r="M17" i="1"/>
  <c r="N17" i="1"/>
  <c r="O17" i="1"/>
  <c r="F18" i="1"/>
  <c r="G18" i="1"/>
  <c r="H18" i="1"/>
  <c r="I18" i="1"/>
  <c r="J18" i="1"/>
  <c r="K18" i="1"/>
  <c r="L18" i="1"/>
  <c r="M18" i="1"/>
  <c r="N18" i="1"/>
  <c r="O18" i="1"/>
  <c r="F19" i="1"/>
  <c r="G19" i="1"/>
  <c r="H19" i="1"/>
  <c r="I19" i="1"/>
  <c r="J19" i="1"/>
  <c r="K19" i="1"/>
  <c r="L19" i="1"/>
  <c r="M19" i="1"/>
  <c r="N19" i="1"/>
  <c r="O19" i="1"/>
  <c r="F20" i="1"/>
  <c r="G20" i="1"/>
  <c r="H20" i="1"/>
  <c r="I20" i="1"/>
  <c r="J20" i="1"/>
  <c r="K20" i="1"/>
  <c r="L20" i="1"/>
  <c r="M20" i="1"/>
  <c r="N20" i="1"/>
  <c r="O20" i="1"/>
  <c r="F24" i="1"/>
  <c r="G24" i="1"/>
  <c r="H24" i="1"/>
  <c r="I24" i="1"/>
  <c r="J24" i="1"/>
  <c r="K24" i="1"/>
  <c r="L24" i="1"/>
  <c r="M24" i="1"/>
  <c r="N24" i="1"/>
  <c r="O24" i="1"/>
  <c r="F25" i="1"/>
  <c r="G25" i="1"/>
  <c r="H25" i="1"/>
  <c r="I25" i="1"/>
  <c r="J25" i="1"/>
  <c r="K25" i="1"/>
  <c r="L25" i="1"/>
  <c r="M25" i="1"/>
  <c r="N25" i="1"/>
  <c r="O25" i="1"/>
  <c r="E17" i="1"/>
  <c r="E18" i="1"/>
  <c r="E19" i="1"/>
  <c r="E20" i="1"/>
  <c r="E24" i="1"/>
  <c r="E25" i="1"/>
  <c r="E16" i="1"/>
  <c r="E15" i="1"/>
  <c r="E29" i="6"/>
  <c r="F29" i="6"/>
  <c r="G29" i="6"/>
  <c r="H29" i="6"/>
  <c r="I29" i="6"/>
  <c r="J29" i="6"/>
  <c r="K29" i="6"/>
  <c r="L29" i="6"/>
  <c r="M29" i="6"/>
  <c r="N29" i="6"/>
  <c r="O29" i="6"/>
  <c r="E28" i="5"/>
  <c r="P6" i="9" s="1"/>
  <c r="F28" i="5"/>
  <c r="D17" i="9" s="1"/>
  <c r="G28" i="5"/>
  <c r="J17" i="9" s="1"/>
  <c r="H28" i="5"/>
  <c r="P17" i="9" s="1"/>
  <c r="I28" i="5"/>
  <c r="D28" i="9" s="1"/>
  <c r="J28" i="5"/>
  <c r="J28" i="9" s="1"/>
  <c r="K28" i="5"/>
  <c r="P28" i="9" s="1"/>
  <c r="L28" i="5"/>
  <c r="D39" i="9" s="1"/>
  <c r="M28" i="5"/>
  <c r="J39" i="9" s="1"/>
  <c r="N28" i="5"/>
  <c r="P39" i="9" s="1"/>
  <c r="O28" i="5"/>
  <c r="D50" i="9" s="1"/>
  <c r="E29" i="5"/>
  <c r="F29" i="5"/>
  <c r="G29" i="5"/>
  <c r="H29" i="5"/>
  <c r="I29" i="5"/>
  <c r="J29" i="5"/>
  <c r="K29" i="5"/>
  <c r="L29" i="5"/>
  <c r="M29" i="5"/>
  <c r="N29" i="5"/>
  <c r="O29" i="5"/>
  <c r="E28" i="4"/>
  <c r="P5" i="9" s="1"/>
  <c r="F28" i="4"/>
  <c r="D16" i="9" s="1"/>
  <c r="G28" i="4"/>
  <c r="J16" i="9" s="1"/>
  <c r="H28" i="4"/>
  <c r="P16" i="9" s="1"/>
  <c r="I28" i="4"/>
  <c r="D27" i="9" s="1"/>
  <c r="J28" i="4"/>
  <c r="J27" i="9" s="1"/>
  <c r="K28" i="4"/>
  <c r="P27" i="9" s="1"/>
  <c r="L28" i="4"/>
  <c r="D38" i="9" s="1"/>
  <c r="M28" i="4"/>
  <c r="J38" i="9" s="1"/>
  <c r="N28" i="4"/>
  <c r="P38" i="9" s="1"/>
  <c r="O28" i="4"/>
  <c r="D49" i="9" s="1"/>
  <c r="E29" i="4"/>
  <c r="F29" i="4"/>
  <c r="G29" i="4"/>
  <c r="H29" i="4"/>
  <c r="I29" i="4"/>
  <c r="J29" i="4"/>
  <c r="K29" i="4"/>
  <c r="L29" i="4"/>
  <c r="M29" i="4"/>
  <c r="N29" i="4"/>
  <c r="O29" i="4"/>
  <c r="E28" i="3"/>
  <c r="P4" i="9" s="1"/>
  <c r="F28" i="3"/>
  <c r="D15" i="9" s="1"/>
  <c r="G28" i="3"/>
  <c r="J15" i="9" s="1"/>
  <c r="H28" i="3"/>
  <c r="P15" i="9" s="1"/>
  <c r="I28" i="3"/>
  <c r="D26" i="9" s="1"/>
  <c r="J28" i="3"/>
  <c r="J26" i="9" s="1"/>
  <c r="K28" i="3"/>
  <c r="P26" i="9" s="1"/>
  <c r="L28" i="3"/>
  <c r="D37" i="9" s="1"/>
  <c r="M28" i="3"/>
  <c r="J37" i="9" s="1"/>
  <c r="N28" i="3"/>
  <c r="P37" i="9" s="1"/>
  <c r="O28" i="3"/>
  <c r="D48" i="9" s="1"/>
  <c r="E29" i="3"/>
  <c r="F29" i="3"/>
  <c r="G29" i="3"/>
  <c r="H29" i="3"/>
  <c r="I29" i="3"/>
  <c r="J29" i="3"/>
  <c r="K29" i="3"/>
  <c r="L29" i="3"/>
  <c r="M29" i="3"/>
  <c r="N29" i="3"/>
  <c r="O29" i="3"/>
  <c r="E28" i="2"/>
  <c r="P3" i="9" s="1"/>
  <c r="F28" i="2"/>
  <c r="D14" i="9" s="1"/>
  <c r="G28" i="2"/>
  <c r="J14" i="9" s="1"/>
  <c r="H28" i="2"/>
  <c r="P14" i="9" s="1"/>
  <c r="I28" i="2"/>
  <c r="D25" i="9" s="1"/>
  <c r="J28" i="2"/>
  <c r="J25" i="9" s="1"/>
  <c r="K28" i="2"/>
  <c r="P25" i="9" s="1"/>
  <c r="L28" i="2"/>
  <c r="D36" i="9" s="1"/>
  <c r="M28" i="2"/>
  <c r="J36" i="9" s="1"/>
  <c r="N28" i="2"/>
  <c r="P36" i="9" s="1"/>
  <c r="O28" i="2"/>
  <c r="D47" i="9" s="1"/>
  <c r="E29" i="2"/>
  <c r="F29" i="2"/>
  <c r="G29" i="2"/>
  <c r="H29" i="2"/>
  <c r="I29" i="2"/>
  <c r="J29" i="2"/>
  <c r="K29" i="2"/>
  <c r="L29" i="2"/>
  <c r="M29" i="2"/>
  <c r="N29" i="2"/>
  <c r="O29" i="2"/>
  <c r="O25" i="6"/>
  <c r="N25" i="6"/>
  <c r="M25" i="6"/>
  <c r="L25" i="6"/>
  <c r="K25" i="6"/>
  <c r="J25" i="6"/>
  <c r="I25" i="6"/>
  <c r="H25" i="6"/>
  <c r="G25" i="6"/>
  <c r="F25" i="6"/>
  <c r="E25" i="6"/>
  <c r="O24" i="6"/>
  <c r="N24" i="6"/>
  <c r="M24" i="6"/>
  <c r="L24" i="6"/>
  <c r="K24" i="6"/>
  <c r="J24" i="6"/>
  <c r="I24" i="6"/>
  <c r="H24" i="6"/>
  <c r="G24" i="6"/>
  <c r="F24" i="6"/>
  <c r="E24" i="6"/>
  <c r="O20" i="6"/>
  <c r="N20" i="6"/>
  <c r="M20" i="6"/>
  <c r="L20" i="6"/>
  <c r="K20" i="6"/>
  <c r="J20" i="6"/>
  <c r="I20" i="6"/>
  <c r="H20" i="6"/>
  <c r="G20" i="6"/>
  <c r="F20" i="6"/>
  <c r="E20" i="6"/>
  <c r="O19" i="6"/>
  <c r="N19" i="6"/>
  <c r="M19" i="6"/>
  <c r="L19" i="6"/>
  <c r="K19" i="6"/>
  <c r="J19" i="6"/>
  <c r="I19" i="6"/>
  <c r="H19" i="6"/>
  <c r="G19" i="6"/>
  <c r="F19" i="6"/>
  <c r="E19" i="6"/>
  <c r="O18" i="6"/>
  <c r="N18" i="6"/>
  <c r="M18" i="6"/>
  <c r="L18" i="6"/>
  <c r="K18" i="6"/>
  <c r="J18" i="6"/>
  <c r="I18" i="6"/>
  <c r="H18" i="6"/>
  <c r="G18" i="6"/>
  <c r="F18" i="6"/>
  <c r="E18" i="6"/>
  <c r="O17" i="6"/>
  <c r="N17" i="6"/>
  <c r="M17" i="6"/>
  <c r="L17" i="6"/>
  <c r="K17" i="6"/>
  <c r="J17" i="6"/>
  <c r="I17" i="6"/>
  <c r="H17" i="6"/>
  <c r="G17" i="6"/>
  <c r="F17" i="6"/>
  <c r="E17" i="6"/>
  <c r="O16" i="6"/>
  <c r="N16" i="6"/>
  <c r="M16" i="6"/>
  <c r="L16" i="6"/>
  <c r="K16" i="6"/>
  <c r="J16" i="6"/>
  <c r="I16" i="6"/>
  <c r="H16" i="6"/>
  <c r="G16" i="6"/>
  <c r="F16" i="6"/>
  <c r="E16" i="6"/>
  <c r="O15" i="6"/>
  <c r="N15" i="6"/>
  <c r="M15" i="6"/>
  <c r="L15" i="6"/>
  <c r="K15" i="6"/>
  <c r="J15" i="6"/>
  <c r="I15" i="6"/>
  <c r="H15" i="6"/>
  <c r="G15" i="6"/>
  <c r="F15" i="6"/>
  <c r="E15" i="6"/>
  <c r="O25" i="5"/>
  <c r="N25" i="5"/>
  <c r="M25" i="5"/>
  <c r="L25" i="5"/>
  <c r="K25" i="5"/>
  <c r="J25" i="5"/>
  <c r="I25" i="5"/>
  <c r="H25" i="5"/>
  <c r="G25" i="5"/>
  <c r="F25" i="5"/>
  <c r="E25" i="5"/>
  <c r="O24" i="5"/>
  <c r="N24" i="5"/>
  <c r="M24" i="5"/>
  <c r="L24" i="5"/>
  <c r="K24" i="5"/>
  <c r="J24" i="5"/>
  <c r="I24" i="5"/>
  <c r="H24" i="5"/>
  <c r="G24" i="5"/>
  <c r="F24" i="5"/>
  <c r="E24" i="5"/>
  <c r="O20" i="5"/>
  <c r="N20" i="5"/>
  <c r="M20" i="5"/>
  <c r="L20" i="5"/>
  <c r="K20" i="5"/>
  <c r="J20" i="5"/>
  <c r="I20" i="5"/>
  <c r="H20" i="5"/>
  <c r="G20" i="5"/>
  <c r="F20" i="5"/>
  <c r="E20" i="5"/>
  <c r="O19" i="5"/>
  <c r="N19" i="5"/>
  <c r="M19" i="5"/>
  <c r="L19" i="5"/>
  <c r="K19" i="5"/>
  <c r="J19" i="5"/>
  <c r="I19" i="5"/>
  <c r="H19" i="5"/>
  <c r="G19" i="5"/>
  <c r="F19" i="5"/>
  <c r="E19" i="5"/>
  <c r="O18" i="5"/>
  <c r="N18" i="5"/>
  <c r="M18" i="5"/>
  <c r="L18" i="5"/>
  <c r="K18" i="5"/>
  <c r="J18" i="5"/>
  <c r="I18" i="5"/>
  <c r="H18" i="5"/>
  <c r="G18" i="5"/>
  <c r="F18" i="5"/>
  <c r="E18" i="5"/>
  <c r="O17" i="5"/>
  <c r="N17" i="5"/>
  <c r="M17" i="5"/>
  <c r="L17" i="5"/>
  <c r="K17" i="5"/>
  <c r="J17" i="5"/>
  <c r="I17" i="5"/>
  <c r="H17" i="5"/>
  <c r="G17" i="5"/>
  <c r="F17" i="5"/>
  <c r="E17" i="5"/>
  <c r="O16" i="5"/>
  <c r="N16" i="5"/>
  <c r="M16" i="5"/>
  <c r="L16" i="5"/>
  <c r="K16" i="5"/>
  <c r="J16" i="5"/>
  <c r="I16" i="5"/>
  <c r="H16" i="5"/>
  <c r="G16" i="5"/>
  <c r="F16" i="5"/>
  <c r="E16" i="5"/>
  <c r="O15" i="5"/>
  <c r="N15" i="5"/>
  <c r="M15" i="5"/>
  <c r="L15" i="5"/>
  <c r="K15" i="5"/>
  <c r="J15" i="5"/>
  <c r="I15" i="5"/>
  <c r="H15" i="5"/>
  <c r="G15" i="5"/>
  <c r="F15" i="5"/>
  <c r="E15" i="5"/>
  <c r="O25" i="4"/>
  <c r="N25" i="4"/>
  <c r="M25" i="4"/>
  <c r="L25" i="4"/>
  <c r="K25" i="4"/>
  <c r="J25" i="4"/>
  <c r="I25" i="4"/>
  <c r="H25" i="4"/>
  <c r="G25" i="4"/>
  <c r="F25" i="4"/>
  <c r="E25" i="4"/>
  <c r="O24" i="4"/>
  <c r="N24" i="4"/>
  <c r="M24" i="4"/>
  <c r="L24" i="4"/>
  <c r="K24" i="4"/>
  <c r="J24" i="4"/>
  <c r="I24" i="4"/>
  <c r="H24" i="4"/>
  <c r="G24" i="4"/>
  <c r="F24" i="4"/>
  <c r="E24" i="4"/>
  <c r="O20" i="4"/>
  <c r="N20" i="4"/>
  <c r="M20" i="4"/>
  <c r="L20" i="4"/>
  <c r="K20" i="4"/>
  <c r="J20" i="4"/>
  <c r="I20" i="4"/>
  <c r="H20" i="4"/>
  <c r="G20" i="4"/>
  <c r="F20" i="4"/>
  <c r="E20" i="4"/>
  <c r="O19" i="4"/>
  <c r="N19" i="4"/>
  <c r="M19" i="4"/>
  <c r="L19" i="4"/>
  <c r="K19" i="4"/>
  <c r="J19" i="4"/>
  <c r="I19" i="4"/>
  <c r="H19" i="4"/>
  <c r="G19" i="4"/>
  <c r="F19" i="4"/>
  <c r="E19" i="4"/>
  <c r="O18" i="4"/>
  <c r="N18" i="4"/>
  <c r="M18" i="4"/>
  <c r="L18" i="4"/>
  <c r="K18" i="4"/>
  <c r="J18" i="4"/>
  <c r="I18" i="4"/>
  <c r="H18" i="4"/>
  <c r="G18" i="4"/>
  <c r="F18" i="4"/>
  <c r="E18" i="4"/>
  <c r="O17" i="4"/>
  <c r="N17" i="4"/>
  <c r="M17" i="4"/>
  <c r="L17" i="4"/>
  <c r="K17" i="4"/>
  <c r="J17" i="4"/>
  <c r="I17" i="4"/>
  <c r="H17" i="4"/>
  <c r="G17" i="4"/>
  <c r="F17" i="4"/>
  <c r="E17" i="4"/>
  <c r="O16" i="4"/>
  <c r="N16" i="4"/>
  <c r="M16" i="4"/>
  <c r="L16" i="4"/>
  <c r="K16" i="4"/>
  <c r="J16" i="4"/>
  <c r="I16" i="4"/>
  <c r="H16" i="4"/>
  <c r="G16" i="4"/>
  <c r="F16" i="4"/>
  <c r="E16" i="4"/>
  <c r="O15" i="4"/>
  <c r="N15" i="4"/>
  <c r="M15" i="4"/>
  <c r="L15" i="4"/>
  <c r="K15" i="4"/>
  <c r="J15" i="4"/>
  <c r="I15" i="4"/>
  <c r="H15" i="4"/>
  <c r="G15" i="4"/>
  <c r="F15" i="4"/>
  <c r="E15" i="4"/>
  <c r="O25" i="3"/>
  <c r="N25" i="3"/>
  <c r="M25" i="3"/>
  <c r="L25" i="3"/>
  <c r="K25" i="3"/>
  <c r="J25" i="3"/>
  <c r="I25" i="3"/>
  <c r="H25" i="3"/>
  <c r="G25" i="3"/>
  <c r="F25" i="3"/>
  <c r="E25" i="3"/>
  <c r="O24" i="3"/>
  <c r="N24" i="3"/>
  <c r="M24" i="3"/>
  <c r="L24" i="3"/>
  <c r="K24" i="3"/>
  <c r="J24" i="3"/>
  <c r="I24" i="3"/>
  <c r="H24" i="3"/>
  <c r="G24" i="3"/>
  <c r="F24" i="3"/>
  <c r="E24" i="3"/>
  <c r="O20" i="3"/>
  <c r="N20" i="3"/>
  <c r="M20" i="3"/>
  <c r="L20" i="3"/>
  <c r="K20" i="3"/>
  <c r="J20" i="3"/>
  <c r="I20" i="3"/>
  <c r="H20" i="3"/>
  <c r="G20" i="3"/>
  <c r="F20" i="3"/>
  <c r="E20" i="3"/>
  <c r="O19" i="3"/>
  <c r="N19" i="3"/>
  <c r="M19" i="3"/>
  <c r="L19" i="3"/>
  <c r="K19" i="3"/>
  <c r="J19" i="3"/>
  <c r="I19" i="3"/>
  <c r="H19" i="3"/>
  <c r="G19" i="3"/>
  <c r="F19" i="3"/>
  <c r="E19" i="3"/>
  <c r="O18" i="3"/>
  <c r="N18" i="3"/>
  <c r="N26" i="3" s="1"/>
  <c r="M18" i="3"/>
  <c r="L18" i="3"/>
  <c r="K18" i="3"/>
  <c r="K26" i="3" s="1"/>
  <c r="J18" i="3"/>
  <c r="I18" i="3"/>
  <c r="H18" i="3"/>
  <c r="G18" i="3"/>
  <c r="F18" i="3"/>
  <c r="E18" i="3"/>
  <c r="O17" i="3"/>
  <c r="N17" i="3"/>
  <c r="M17" i="3"/>
  <c r="L17" i="3"/>
  <c r="K17" i="3"/>
  <c r="J17" i="3"/>
  <c r="I17" i="3"/>
  <c r="H17" i="3"/>
  <c r="G17" i="3"/>
  <c r="F17" i="3"/>
  <c r="E17" i="3"/>
  <c r="O16" i="3"/>
  <c r="N16" i="3"/>
  <c r="M16" i="3"/>
  <c r="L16" i="3"/>
  <c r="K16" i="3"/>
  <c r="J16" i="3"/>
  <c r="J26" i="3" s="1"/>
  <c r="I16" i="3"/>
  <c r="I26" i="3" s="1"/>
  <c r="H16" i="3"/>
  <c r="H26" i="3" s="1"/>
  <c r="G16" i="3"/>
  <c r="F16" i="3"/>
  <c r="E16" i="3"/>
  <c r="O15" i="3"/>
  <c r="N15" i="3"/>
  <c r="M15" i="3"/>
  <c r="L15" i="3"/>
  <c r="K15" i="3"/>
  <c r="J15" i="3"/>
  <c r="I15" i="3"/>
  <c r="H15" i="3"/>
  <c r="G15" i="3"/>
  <c r="F15" i="3"/>
  <c r="E15" i="3"/>
  <c r="O25" i="2"/>
  <c r="N25" i="2"/>
  <c r="M25" i="2"/>
  <c r="L25" i="2"/>
  <c r="K25" i="2"/>
  <c r="J25" i="2"/>
  <c r="I25" i="2"/>
  <c r="H25" i="2"/>
  <c r="G25" i="2"/>
  <c r="F25" i="2"/>
  <c r="E25" i="2"/>
  <c r="O24" i="2"/>
  <c r="N24" i="2"/>
  <c r="M24" i="2"/>
  <c r="L24" i="2"/>
  <c r="K24" i="2"/>
  <c r="J24" i="2"/>
  <c r="I24" i="2"/>
  <c r="H24" i="2"/>
  <c r="G24" i="2"/>
  <c r="F24" i="2"/>
  <c r="E24" i="2"/>
  <c r="O20" i="2"/>
  <c r="E47" i="9" s="1"/>
  <c r="N20" i="2"/>
  <c r="Q36" i="9" s="1"/>
  <c r="M20" i="2"/>
  <c r="K36" i="9" s="1"/>
  <c r="L20" i="2"/>
  <c r="E36" i="9" s="1"/>
  <c r="K20" i="2"/>
  <c r="Q25" i="9" s="1"/>
  <c r="J20" i="2"/>
  <c r="K25" i="9" s="1"/>
  <c r="I20" i="2"/>
  <c r="E25" i="9" s="1"/>
  <c r="H20" i="2"/>
  <c r="Q14" i="9" s="1"/>
  <c r="G20" i="2"/>
  <c r="K14" i="9" s="1"/>
  <c r="F20" i="2"/>
  <c r="E14" i="9" s="1"/>
  <c r="E20" i="2"/>
  <c r="Q3" i="9" s="1"/>
  <c r="O19" i="2"/>
  <c r="N19" i="2"/>
  <c r="M19" i="2"/>
  <c r="L19" i="2"/>
  <c r="K19" i="2"/>
  <c r="J19" i="2"/>
  <c r="I19" i="2"/>
  <c r="H19" i="2"/>
  <c r="G19" i="2"/>
  <c r="F19" i="2"/>
  <c r="E19" i="2"/>
  <c r="O18" i="2"/>
  <c r="N18" i="2"/>
  <c r="M18" i="2"/>
  <c r="L18" i="2"/>
  <c r="K18" i="2"/>
  <c r="J18" i="2"/>
  <c r="I18" i="2"/>
  <c r="H18" i="2"/>
  <c r="G18" i="2"/>
  <c r="F18" i="2"/>
  <c r="E18" i="2"/>
  <c r="O17" i="2"/>
  <c r="N17" i="2"/>
  <c r="M17" i="2"/>
  <c r="L17" i="2"/>
  <c r="K17" i="2"/>
  <c r="J17" i="2"/>
  <c r="I17" i="2"/>
  <c r="H17" i="2"/>
  <c r="G17" i="2"/>
  <c r="F17" i="2"/>
  <c r="E17" i="2"/>
  <c r="O16" i="2"/>
  <c r="N16" i="2"/>
  <c r="M16" i="2"/>
  <c r="L16" i="2"/>
  <c r="K16" i="2"/>
  <c r="J16" i="2"/>
  <c r="I16" i="2"/>
  <c r="H16" i="2"/>
  <c r="G16" i="2"/>
  <c r="F16" i="2"/>
  <c r="E16" i="2"/>
  <c r="O15" i="2"/>
  <c r="N15" i="2"/>
  <c r="M15" i="2"/>
  <c r="L15" i="2"/>
  <c r="K15" i="2"/>
  <c r="J15" i="2"/>
  <c r="I15" i="2"/>
  <c r="H15" i="2"/>
  <c r="G15" i="2"/>
  <c r="F15" i="2"/>
  <c r="E15" i="2"/>
  <c r="F109" i="9" l="1"/>
  <c r="F233" i="9"/>
  <c r="F234" i="9"/>
  <c r="F235" i="9"/>
  <c r="F236" i="9"/>
  <c r="F237" i="9"/>
  <c r="F238" i="9"/>
  <c r="F239" i="9"/>
  <c r="F240" i="9"/>
  <c r="F227" i="9"/>
  <c r="F226" i="9"/>
  <c r="F225" i="9"/>
  <c r="F224" i="9"/>
  <c r="F223" i="9"/>
  <c r="F222" i="9"/>
  <c r="F230" i="9"/>
  <c r="F229" i="9"/>
  <c r="F228" i="9"/>
  <c r="F215" i="9"/>
  <c r="F216" i="9"/>
  <c r="F217" i="9"/>
  <c r="F218" i="9"/>
  <c r="F219" i="9"/>
  <c r="F212" i="9"/>
  <c r="M31" i="3"/>
  <c r="F203" i="9"/>
  <c r="F200" i="9"/>
  <c r="F201" i="9"/>
  <c r="F202" i="9"/>
  <c r="F204" i="9"/>
  <c r="F205" i="9"/>
  <c r="F206" i="9"/>
  <c r="F207" i="9"/>
  <c r="M26" i="3"/>
  <c r="F197" i="9"/>
  <c r="F190" i="9"/>
  <c r="F189" i="9"/>
  <c r="L26" i="3"/>
  <c r="C37" i="9" s="1"/>
  <c r="F191" i="9"/>
  <c r="F192" i="9"/>
  <c r="F193" i="9"/>
  <c r="F194" i="9"/>
  <c r="F195" i="9"/>
  <c r="F196" i="9"/>
  <c r="F183" i="9"/>
  <c r="F182" i="9"/>
  <c r="F181" i="9"/>
  <c r="F180" i="9"/>
  <c r="F179" i="9"/>
  <c r="F178" i="9"/>
  <c r="F184" i="9"/>
  <c r="F186" i="9"/>
  <c r="F185" i="9"/>
  <c r="K31" i="3"/>
  <c r="F175" i="9"/>
  <c r="F174" i="9"/>
  <c r="F173" i="9"/>
  <c r="F172" i="9"/>
  <c r="F171" i="9"/>
  <c r="F170" i="9"/>
  <c r="F169" i="9"/>
  <c r="F168" i="9"/>
  <c r="F167" i="9"/>
  <c r="J31" i="3"/>
  <c r="F164" i="9"/>
  <c r="F163" i="9"/>
  <c r="F162" i="9"/>
  <c r="F161" i="9"/>
  <c r="F160" i="9"/>
  <c r="F159" i="9"/>
  <c r="F158" i="9"/>
  <c r="F157" i="9"/>
  <c r="F156" i="9"/>
  <c r="I31" i="3"/>
  <c r="F145" i="9"/>
  <c r="F153" i="9"/>
  <c r="F152" i="9"/>
  <c r="F151" i="9"/>
  <c r="F150" i="9"/>
  <c r="F149" i="9"/>
  <c r="F148" i="9"/>
  <c r="F147" i="9"/>
  <c r="F146" i="9"/>
  <c r="C153" i="9"/>
  <c r="C152" i="9"/>
  <c r="C151" i="9"/>
  <c r="C149" i="9"/>
  <c r="C148" i="9"/>
  <c r="C147" i="9"/>
  <c r="C146" i="9"/>
  <c r="C145" i="9"/>
  <c r="H31" i="3"/>
  <c r="F142" i="9"/>
  <c r="F141" i="9"/>
  <c r="F140" i="9"/>
  <c r="F139" i="9"/>
  <c r="F138" i="9"/>
  <c r="F137" i="9"/>
  <c r="F136" i="9"/>
  <c r="F135" i="9"/>
  <c r="F134" i="9"/>
  <c r="C142" i="9"/>
  <c r="C141" i="9"/>
  <c r="C140" i="9"/>
  <c r="C138" i="9"/>
  <c r="C137" i="9"/>
  <c r="C136" i="9"/>
  <c r="C135" i="9"/>
  <c r="C134" i="9"/>
  <c r="F131" i="9"/>
  <c r="F130" i="9"/>
  <c r="F129" i="9"/>
  <c r="F128" i="9"/>
  <c r="F127" i="9"/>
  <c r="F126" i="9"/>
  <c r="F125" i="9"/>
  <c r="F124" i="9"/>
  <c r="F123" i="9"/>
  <c r="C131" i="9"/>
  <c r="C130" i="9"/>
  <c r="C129" i="9"/>
  <c r="C127" i="9"/>
  <c r="C126" i="9"/>
  <c r="C125" i="9"/>
  <c r="C124" i="9"/>
  <c r="C123" i="9"/>
  <c r="F120" i="9"/>
  <c r="F119" i="9"/>
  <c r="F118" i="9"/>
  <c r="F117" i="9"/>
  <c r="F116" i="9"/>
  <c r="F115" i="9"/>
  <c r="F114" i="9"/>
  <c r="F113" i="9"/>
  <c r="F112" i="9"/>
  <c r="C120" i="9"/>
  <c r="C119" i="9"/>
  <c r="C118" i="9"/>
  <c r="C116" i="9"/>
  <c r="C115" i="9"/>
  <c r="C114" i="9"/>
  <c r="C113" i="9"/>
  <c r="C112" i="9"/>
  <c r="D59" i="9"/>
  <c r="C70" i="9" s="1"/>
  <c r="F101" i="9"/>
  <c r="F102" i="9"/>
  <c r="F103" i="9"/>
  <c r="F104" i="9"/>
  <c r="F105" i="9"/>
  <c r="F106" i="9"/>
  <c r="F107" i="9"/>
  <c r="F108" i="9"/>
  <c r="F94" i="9"/>
  <c r="F97" i="9"/>
  <c r="F98" i="9"/>
  <c r="F91" i="9"/>
  <c r="F92" i="9"/>
  <c r="F93" i="9"/>
  <c r="F95" i="9"/>
  <c r="F87" i="9"/>
  <c r="F85" i="9"/>
  <c r="F84" i="9"/>
  <c r="F86" i="9"/>
  <c r="F79" i="9"/>
  <c r="F80" i="9"/>
  <c r="F81" i="9"/>
  <c r="F82" i="9"/>
  <c r="Q10" i="9"/>
  <c r="E65" i="9" s="1"/>
  <c r="O10" i="9"/>
  <c r="C65" i="9" s="1"/>
  <c r="N10" i="9"/>
  <c r="B65" i="9" s="1"/>
  <c r="P10" i="9"/>
  <c r="H31" i="7"/>
  <c r="Q19" i="9" s="1"/>
  <c r="H26" i="7"/>
  <c r="O19" i="9" s="1"/>
  <c r="I31" i="7"/>
  <c r="E30" i="9" s="1"/>
  <c r="I26" i="7"/>
  <c r="C30" i="9" s="1"/>
  <c r="J31" i="7"/>
  <c r="K30" i="9" s="1"/>
  <c r="J26" i="7"/>
  <c r="K31" i="7"/>
  <c r="Q30" i="9" s="1"/>
  <c r="K26" i="7"/>
  <c r="O30" i="9" s="1"/>
  <c r="L31" i="7"/>
  <c r="E41" i="9" s="1"/>
  <c r="L26" i="7"/>
  <c r="C41" i="9" s="1"/>
  <c r="M31" i="7"/>
  <c r="K41" i="9" s="1"/>
  <c r="M26" i="7"/>
  <c r="I41" i="9" s="1"/>
  <c r="N31" i="7"/>
  <c r="Q41" i="9" s="1"/>
  <c r="N26" i="7"/>
  <c r="O41" i="9" s="1"/>
  <c r="O31" i="7"/>
  <c r="E52" i="9" s="1"/>
  <c r="O26" i="7"/>
  <c r="C52" i="9" s="1"/>
  <c r="P31" i="7"/>
  <c r="K52" i="9" s="1"/>
  <c r="P26" i="7"/>
  <c r="I52" i="9" s="1"/>
  <c r="Q31" i="7"/>
  <c r="Q52" i="9" s="1"/>
  <c r="Q26" i="7"/>
  <c r="O52" i="9" s="1"/>
  <c r="G31" i="7"/>
  <c r="K19" i="9" s="1"/>
  <c r="G26" i="7"/>
  <c r="I19" i="9" s="1"/>
  <c r="F31" i="7"/>
  <c r="E19" i="9" s="1"/>
  <c r="F26" i="7"/>
  <c r="C19" i="9" s="1"/>
  <c r="E31" i="7"/>
  <c r="Q8" i="9" s="1"/>
  <c r="E26" i="7"/>
  <c r="O8" i="9" s="1"/>
  <c r="D31" i="7"/>
  <c r="K8" i="9" s="1"/>
  <c r="D26" i="7"/>
  <c r="H31" i="5"/>
  <c r="Q17" i="9" s="1"/>
  <c r="H26" i="5"/>
  <c r="O17" i="9" s="1"/>
  <c r="I31" i="5"/>
  <c r="E28" i="9" s="1"/>
  <c r="I26" i="5"/>
  <c r="C28" i="9" s="1"/>
  <c r="G31" i="5"/>
  <c r="G26" i="5"/>
  <c r="I17" i="9" s="1"/>
  <c r="C31" i="7"/>
  <c r="E8" i="9" s="1"/>
  <c r="C26" i="7"/>
  <c r="C8" i="9" s="1"/>
  <c r="D31" i="5"/>
  <c r="K6" i="9" s="1"/>
  <c r="D26" i="5"/>
  <c r="I6" i="9" s="1"/>
  <c r="C31" i="5"/>
  <c r="E6" i="9" s="1"/>
  <c r="C26" i="5"/>
  <c r="C6" i="9" s="1"/>
  <c r="I31" i="4"/>
  <c r="E27" i="9" s="1"/>
  <c r="I26" i="4"/>
  <c r="C27" i="9" s="1"/>
  <c r="H31" i="4"/>
  <c r="Q16" i="9" s="1"/>
  <c r="H26" i="4"/>
  <c r="O16" i="9" s="1"/>
  <c r="F31" i="5"/>
  <c r="E17" i="9" s="1"/>
  <c r="F26" i="5"/>
  <c r="C17" i="9" s="1"/>
  <c r="E31" i="5"/>
  <c r="Q6" i="9" s="1"/>
  <c r="E26" i="5"/>
  <c r="O6" i="9" s="1"/>
  <c r="G31" i="4"/>
  <c r="K16" i="9" s="1"/>
  <c r="G26" i="4"/>
  <c r="I16" i="9" s="1"/>
  <c r="F31" i="4"/>
  <c r="E16" i="9" s="1"/>
  <c r="F26" i="4"/>
  <c r="C16" i="9" s="1"/>
  <c r="E31" i="4"/>
  <c r="Q5" i="9" s="1"/>
  <c r="E26" i="4"/>
  <c r="O5" i="9" s="1"/>
  <c r="D31" i="4"/>
  <c r="K5" i="9" s="1"/>
  <c r="D26" i="4"/>
  <c r="I5" i="9" s="1"/>
  <c r="C31" i="4"/>
  <c r="E5" i="9" s="1"/>
  <c r="C26" i="4"/>
  <c r="C5" i="9" s="1"/>
  <c r="G31" i="3"/>
  <c r="K15" i="9" s="1"/>
  <c r="G26" i="3"/>
  <c r="F31" i="3"/>
  <c r="E15" i="9" s="1"/>
  <c r="F26" i="3"/>
  <c r="E31" i="3"/>
  <c r="Q4" i="9" s="1"/>
  <c r="E26" i="3"/>
  <c r="O4" i="9" s="1"/>
  <c r="D31" i="3"/>
  <c r="K4" i="9" s="1"/>
  <c r="D26" i="3"/>
  <c r="I4" i="9" s="1"/>
  <c r="C31" i="3"/>
  <c r="E4" i="9" s="1"/>
  <c r="C26" i="3"/>
  <c r="C4" i="9" s="1"/>
  <c r="H31" i="1"/>
  <c r="H26" i="1"/>
  <c r="I31" i="1"/>
  <c r="I26" i="1"/>
  <c r="J31" i="1"/>
  <c r="J26" i="1"/>
  <c r="G31" i="1"/>
  <c r="G26" i="1"/>
  <c r="F31" i="1"/>
  <c r="F26" i="1"/>
  <c r="E31" i="1"/>
  <c r="E26" i="1"/>
  <c r="D31" i="1"/>
  <c r="D26" i="1"/>
  <c r="C31" i="1"/>
  <c r="E2" i="9" s="1"/>
  <c r="C26" i="1"/>
  <c r="C2" i="9" s="1"/>
  <c r="K7" i="9"/>
  <c r="Q7" i="9"/>
  <c r="E18" i="9"/>
  <c r="K18" i="9"/>
  <c r="Q18" i="9"/>
  <c r="E29" i="9"/>
  <c r="K29" i="9"/>
  <c r="Q29" i="9"/>
  <c r="E40" i="9"/>
  <c r="K40" i="9"/>
  <c r="Q40" i="9"/>
  <c r="E51" i="9"/>
  <c r="K51" i="9"/>
  <c r="I51" i="9"/>
  <c r="Q51" i="9"/>
  <c r="E7" i="9"/>
  <c r="Q28" i="9"/>
  <c r="O28" i="9"/>
  <c r="E39" i="9"/>
  <c r="C39" i="9"/>
  <c r="K39" i="9"/>
  <c r="I39" i="9"/>
  <c r="Q39" i="9"/>
  <c r="O39" i="9"/>
  <c r="E50" i="9"/>
  <c r="C50" i="9"/>
  <c r="K50" i="9"/>
  <c r="I50" i="9"/>
  <c r="Q50" i="9"/>
  <c r="O50" i="9"/>
  <c r="K28" i="9"/>
  <c r="I28" i="9"/>
  <c r="Q27" i="9"/>
  <c r="E38" i="9"/>
  <c r="C38" i="9"/>
  <c r="K38" i="9"/>
  <c r="Q38" i="9"/>
  <c r="O38" i="9"/>
  <c r="E49" i="9"/>
  <c r="K49" i="9"/>
  <c r="I49" i="9"/>
  <c r="Q49" i="9"/>
  <c r="O49" i="9"/>
  <c r="K27" i="9"/>
  <c r="I27" i="9"/>
  <c r="E26" i="9"/>
  <c r="K26" i="9"/>
  <c r="Q26" i="9"/>
  <c r="E37" i="9"/>
  <c r="E48" i="9"/>
  <c r="I48" i="9"/>
  <c r="O48" i="9"/>
  <c r="Q15" i="9"/>
  <c r="E9" i="9"/>
  <c r="K9" i="9"/>
  <c r="Q9" i="9"/>
  <c r="E20" i="9"/>
  <c r="K20" i="9"/>
  <c r="Q20" i="9"/>
  <c r="E31" i="9"/>
  <c r="K31" i="9"/>
  <c r="Q31" i="9"/>
  <c r="E42" i="9"/>
  <c r="K42" i="9"/>
  <c r="E53" i="9"/>
  <c r="K53" i="9"/>
  <c r="Q53" i="9"/>
  <c r="C9" i="9"/>
  <c r="I9" i="9"/>
  <c r="O9" i="9"/>
  <c r="C20" i="9"/>
  <c r="I20" i="9"/>
  <c r="O20" i="9"/>
  <c r="C31" i="9"/>
  <c r="I31" i="9"/>
  <c r="O31" i="9"/>
  <c r="C42" i="9"/>
  <c r="I42" i="9"/>
  <c r="O42" i="9"/>
  <c r="C53" i="9"/>
  <c r="I53" i="9"/>
  <c r="O53" i="9"/>
  <c r="E63" i="9"/>
  <c r="E62" i="9"/>
  <c r="O7" i="9"/>
  <c r="C18" i="9"/>
  <c r="I18" i="9"/>
  <c r="O18" i="9"/>
  <c r="C29" i="9"/>
  <c r="I29" i="9"/>
  <c r="O29" i="9"/>
  <c r="C40" i="9"/>
  <c r="I40" i="9"/>
  <c r="O40" i="9"/>
  <c r="C51" i="9"/>
  <c r="E61" i="9"/>
  <c r="C61" i="9"/>
  <c r="E60" i="9"/>
  <c r="C3" i="9"/>
  <c r="E3" i="9"/>
  <c r="E58" i="9"/>
  <c r="O2" i="9"/>
  <c r="Q24" i="9"/>
  <c r="C46" i="9"/>
  <c r="O24" i="9"/>
  <c r="I24" i="9"/>
  <c r="C24" i="9"/>
  <c r="O13" i="9"/>
  <c r="I13" i="9"/>
  <c r="C13" i="9"/>
  <c r="I2" i="9"/>
  <c r="O46" i="9"/>
  <c r="Q42" i="9"/>
  <c r="E64" i="9"/>
  <c r="C64" i="9"/>
  <c r="B64" i="9"/>
  <c r="K37" i="9"/>
  <c r="Q37" i="9"/>
  <c r="Q48" i="9"/>
  <c r="K48" i="9"/>
  <c r="B59" i="9"/>
  <c r="Q46" i="9"/>
  <c r="I46" i="9"/>
  <c r="K46" i="9"/>
  <c r="E46" i="9"/>
  <c r="C35" i="9"/>
  <c r="I35" i="9"/>
  <c r="O35" i="9"/>
  <c r="Q35" i="9"/>
  <c r="K35" i="9"/>
  <c r="E35" i="9"/>
  <c r="K24" i="9"/>
  <c r="E24" i="9"/>
  <c r="Q13" i="9"/>
  <c r="K13" i="9"/>
  <c r="E13" i="9"/>
  <c r="Q2" i="9"/>
  <c r="K2" i="9"/>
  <c r="E57" i="9"/>
  <c r="N29" i="9"/>
  <c r="N24" i="9"/>
  <c r="B57" i="9"/>
  <c r="C57" i="9"/>
  <c r="I7" i="9"/>
  <c r="C7" i="9"/>
  <c r="O51" i="9"/>
  <c r="B62" i="9"/>
  <c r="C62" i="9"/>
  <c r="I30" i="9"/>
  <c r="I8" i="9"/>
  <c r="C63" i="9"/>
  <c r="C15" i="9"/>
  <c r="I15" i="9"/>
  <c r="O15" i="9"/>
  <c r="C26" i="9"/>
  <c r="I26" i="9"/>
  <c r="O26" i="9"/>
  <c r="I37" i="9"/>
  <c r="O37" i="9"/>
  <c r="C48" i="9"/>
  <c r="O3" i="9"/>
  <c r="C14" i="9"/>
  <c r="I14" i="9"/>
  <c r="O14" i="9"/>
  <c r="C25" i="9"/>
  <c r="I25" i="9"/>
  <c r="O25" i="9"/>
  <c r="C36" i="9"/>
  <c r="I36" i="9"/>
  <c r="O36" i="9"/>
  <c r="C47" i="9"/>
  <c r="C49" i="9"/>
  <c r="I38" i="9"/>
  <c r="O27" i="9"/>
  <c r="C60" i="9" s="1"/>
  <c r="E241" i="9" l="1"/>
  <c r="E240" i="9"/>
  <c r="E239" i="9"/>
  <c r="E238" i="9"/>
  <c r="E237" i="9"/>
  <c r="E236" i="9"/>
  <c r="E235" i="9"/>
  <c r="E234" i="9"/>
  <c r="E233" i="9"/>
  <c r="D233" i="9"/>
  <c r="D239" i="9"/>
  <c r="D238" i="9"/>
  <c r="D237" i="9"/>
  <c r="D236" i="9"/>
  <c r="D235" i="9"/>
  <c r="D234" i="9"/>
  <c r="D240" i="9"/>
  <c r="D241" i="9"/>
  <c r="E228" i="9"/>
  <c r="E227" i="9"/>
  <c r="E229" i="9"/>
  <c r="E226" i="9"/>
  <c r="E225" i="9"/>
  <c r="E224" i="9"/>
  <c r="E223" i="9"/>
  <c r="E222" i="9"/>
  <c r="E230" i="9"/>
  <c r="D230" i="9"/>
  <c r="D229" i="9"/>
  <c r="D228" i="9"/>
  <c r="D227" i="9"/>
  <c r="D226" i="9"/>
  <c r="D224" i="9"/>
  <c r="D225" i="9"/>
  <c r="D223" i="9"/>
  <c r="D222" i="9"/>
  <c r="E213" i="9"/>
  <c r="E212" i="9"/>
  <c r="E211" i="9"/>
  <c r="E219" i="9"/>
  <c r="E214" i="9"/>
  <c r="E218" i="9"/>
  <c r="E215" i="9"/>
  <c r="E217" i="9"/>
  <c r="E216" i="9"/>
  <c r="D219" i="9"/>
  <c r="D218" i="9"/>
  <c r="D217" i="9"/>
  <c r="D216" i="9"/>
  <c r="D215" i="9"/>
  <c r="D214" i="9"/>
  <c r="D213" i="9"/>
  <c r="D212" i="9"/>
  <c r="D211" i="9"/>
  <c r="E205" i="9"/>
  <c r="E204" i="9"/>
  <c r="E206" i="9"/>
  <c r="E203" i="9"/>
  <c r="E202" i="9"/>
  <c r="E201" i="9"/>
  <c r="E200" i="9"/>
  <c r="E208" i="9"/>
  <c r="E207" i="9"/>
  <c r="D201" i="9"/>
  <c r="D200" i="9"/>
  <c r="D208" i="9"/>
  <c r="D207" i="9"/>
  <c r="D206" i="9"/>
  <c r="D205" i="9"/>
  <c r="D204" i="9"/>
  <c r="D203" i="9"/>
  <c r="D202" i="9"/>
  <c r="E192" i="9"/>
  <c r="E197" i="9"/>
  <c r="E196" i="9"/>
  <c r="E195" i="9"/>
  <c r="E194" i="9"/>
  <c r="E193" i="9"/>
  <c r="E191" i="9"/>
  <c r="E190" i="9"/>
  <c r="E189" i="9"/>
  <c r="D193" i="9"/>
  <c r="D192" i="9"/>
  <c r="D191" i="9"/>
  <c r="D190" i="9"/>
  <c r="D194" i="9"/>
  <c r="D189" i="9"/>
  <c r="D195" i="9"/>
  <c r="D197" i="9"/>
  <c r="D196" i="9"/>
  <c r="E180" i="9"/>
  <c r="E179" i="9"/>
  <c r="E178" i="9"/>
  <c r="E186" i="9"/>
  <c r="E185" i="9"/>
  <c r="E181" i="9"/>
  <c r="E184" i="9"/>
  <c r="E183" i="9"/>
  <c r="E182" i="9"/>
  <c r="D185" i="9"/>
  <c r="D184" i="9"/>
  <c r="D183" i="9"/>
  <c r="D182" i="9"/>
  <c r="D181" i="9"/>
  <c r="D180" i="9"/>
  <c r="D179" i="9"/>
  <c r="D178" i="9"/>
  <c r="D186" i="9"/>
  <c r="E175" i="9"/>
  <c r="E174" i="9"/>
  <c r="E173" i="9"/>
  <c r="E172" i="9"/>
  <c r="E171" i="9"/>
  <c r="E170" i="9"/>
  <c r="E169" i="9"/>
  <c r="E168" i="9"/>
  <c r="E167" i="9"/>
  <c r="D175" i="9"/>
  <c r="D174" i="9"/>
  <c r="D173" i="9"/>
  <c r="D172" i="9"/>
  <c r="D171" i="9"/>
  <c r="D170" i="9"/>
  <c r="D169" i="9"/>
  <c r="D168" i="9"/>
  <c r="D167" i="9"/>
  <c r="E164" i="9"/>
  <c r="E163" i="9"/>
  <c r="E162" i="9"/>
  <c r="E161" i="9"/>
  <c r="E160" i="9"/>
  <c r="E159" i="9"/>
  <c r="E158" i="9"/>
  <c r="E157" i="9"/>
  <c r="E156" i="9"/>
  <c r="D164" i="9"/>
  <c r="D163" i="9"/>
  <c r="D162" i="9"/>
  <c r="D161" i="9"/>
  <c r="D160" i="9"/>
  <c r="D159" i="9"/>
  <c r="D158" i="9"/>
  <c r="D157" i="9"/>
  <c r="D156" i="9"/>
  <c r="E153" i="9"/>
  <c r="E152" i="9"/>
  <c r="E151" i="9"/>
  <c r="E150" i="9"/>
  <c r="E149" i="9"/>
  <c r="E148" i="9"/>
  <c r="E147" i="9"/>
  <c r="E146" i="9"/>
  <c r="E145" i="9"/>
  <c r="D153" i="9"/>
  <c r="D152" i="9"/>
  <c r="D151" i="9"/>
  <c r="D150" i="9"/>
  <c r="D149" i="9"/>
  <c r="D148" i="9"/>
  <c r="D147" i="9"/>
  <c r="D146" i="9"/>
  <c r="D145" i="9"/>
  <c r="E142" i="9"/>
  <c r="E141" i="9"/>
  <c r="E140" i="9"/>
  <c r="E139" i="9"/>
  <c r="E138" i="9"/>
  <c r="E137" i="9"/>
  <c r="E136" i="9"/>
  <c r="E135" i="9"/>
  <c r="E134" i="9"/>
  <c r="D134" i="9"/>
  <c r="D142" i="9"/>
  <c r="D141" i="9"/>
  <c r="D140" i="9"/>
  <c r="D139" i="9"/>
  <c r="D138" i="9"/>
  <c r="D137" i="9"/>
  <c r="D136" i="9"/>
  <c r="D135" i="9"/>
  <c r="K138" i="9"/>
  <c r="E131" i="9"/>
  <c r="E130" i="9"/>
  <c r="E129" i="9"/>
  <c r="E128" i="9"/>
  <c r="E127" i="9"/>
  <c r="E126" i="9"/>
  <c r="E125" i="9"/>
  <c r="E124" i="9"/>
  <c r="E123" i="9"/>
  <c r="D131" i="9"/>
  <c r="D130" i="9"/>
  <c r="D129" i="9"/>
  <c r="D128" i="9"/>
  <c r="D127" i="9"/>
  <c r="D126" i="9"/>
  <c r="D125" i="9"/>
  <c r="D124" i="9"/>
  <c r="D123" i="9"/>
  <c r="E120" i="9"/>
  <c r="E119" i="9"/>
  <c r="E118" i="9"/>
  <c r="E117" i="9"/>
  <c r="E116" i="9"/>
  <c r="E115" i="9"/>
  <c r="E114" i="9"/>
  <c r="E113" i="9"/>
  <c r="E112" i="9"/>
  <c r="D120" i="9"/>
  <c r="D119" i="9"/>
  <c r="D118" i="9"/>
  <c r="D117" i="9"/>
  <c r="D116" i="9"/>
  <c r="D115" i="9"/>
  <c r="D114" i="9"/>
  <c r="D113" i="9"/>
  <c r="D112" i="9"/>
  <c r="K114" i="9"/>
  <c r="K116" i="9"/>
  <c r="K120" i="9"/>
  <c r="E101" i="9"/>
  <c r="E109" i="9"/>
  <c r="E108" i="9"/>
  <c r="E107" i="9"/>
  <c r="E106" i="9"/>
  <c r="E105" i="9"/>
  <c r="E104" i="9"/>
  <c r="E103" i="9"/>
  <c r="E102" i="9"/>
  <c r="D108" i="9"/>
  <c r="D107" i="9"/>
  <c r="D106" i="9"/>
  <c r="D105" i="9"/>
  <c r="D104" i="9"/>
  <c r="D109" i="9"/>
  <c r="D103" i="9"/>
  <c r="D102" i="9"/>
  <c r="D101" i="9"/>
  <c r="D90" i="9"/>
  <c r="D98" i="9"/>
  <c r="D95" i="9"/>
  <c r="D97" i="9"/>
  <c r="D96" i="9"/>
  <c r="D94" i="9"/>
  <c r="D93" i="9"/>
  <c r="D92" i="9"/>
  <c r="D91" i="9"/>
  <c r="E92" i="9"/>
  <c r="E91" i="9"/>
  <c r="E98" i="9"/>
  <c r="E97" i="9"/>
  <c r="E96" i="9"/>
  <c r="E90" i="9"/>
  <c r="E95" i="9"/>
  <c r="E94" i="9"/>
  <c r="E93" i="9"/>
  <c r="D79" i="9"/>
  <c r="D83" i="9"/>
  <c r="D82" i="9"/>
  <c r="D81" i="9"/>
  <c r="D80" i="9"/>
  <c r="D87" i="9"/>
  <c r="D86" i="9"/>
  <c r="D85" i="9"/>
  <c r="D84" i="9"/>
  <c r="F73" i="9"/>
  <c r="F68" i="9"/>
  <c r="F69" i="9"/>
  <c r="F70" i="9"/>
  <c r="F71" i="9"/>
  <c r="F72" i="9"/>
  <c r="F74" i="9"/>
  <c r="F75" i="9"/>
  <c r="F76" i="9"/>
  <c r="E87" i="9"/>
  <c r="E86" i="9"/>
  <c r="E85" i="9"/>
  <c r="E84" i="9"/>
  <c r="E83" i="9"/>
  <c r="E82" i="9"/>
  <c r="E81" i="9"/>
  <c r="E80" i="9"/>
  <c r="E79" i="9"/>
  <c r="C59" i="9"/>
  <c r="E59" i="9"/>
  <c r="C58" i="9"/>
  <c r="L237" i="9" l="1"/>
  <c r="K237" i="9"/>
  <c r="J237" i="9"/>
  <c r="L239" i="9"/>
  <c r="J239" i="9"/>
  <c r="K239" i="9"/>
  <c r="J233" i="9"/>
  <c r="L233" i="9"/>
  <c r="K233" i="9"/>
  <c r="K241" i="9"/>
  <c r="L241" i="9"/>
  <c r="J241" i="9"/>
  <c r="K238" i="9"/>
  <c r="L238" i="9"/>
  <c r="J238" i="9"/>
  <c r="K234" i="9"/>
  <c r="L234" i="9"/>
  <c r="J234" i="9"/>
  <c r="J235" i="9"/>
  <c r="L235" i="9"/>
  <c r="K235" i="9"/>
  <c r="K240" i="9"/>
  <c r="J240" i="9"/>
  <c r="L240" i="9"/>
  <c r="K236" i="9"/>
  <c r="J236" i="9"/>
  <c r="L236" i="9"/>
  <c r="K228" i="9"/>
  <c r="L228" i="9"/>
  <c r="L230" i="9"/>
  <c r="K230" i="9"/>
  <c r="J230" i="9"/>
  <c r="J227" i="9"/>
  <c r="K227" i="9"/>
  <c r="L227" i="9"/>
  <c r="J222" i="9"/>
  <c r="K222" i="9"/>
  <c r="L222" i="9"/>
  <c r="L223" i="9"/>
  <c r="J223" i="9"/>
  <c r="K223" i="9"/>
  <c r="J225" i="9"/>
  <c r="L225" i="9"/>
  <c r="K225" i="9"/>
  <c r="L226" i="9"/>
  <c r="J226" i="9"/>
  <c r="K226" i="9"/>
  <c r="L229" i="9"/>
  <c r="K229" i="9"/>
  <c r="J229" i="9"/>
  <c r="J228" i="9"/>
  <c r="K224" i="9"/>
  <c r="L224" i="9"/>
  <c r="J224" i="9"/>
  <c r="J218" i="9"/>
  <c r="K218" i="9"/>
  <c r="L218" i="9"/>
  <c r="K215" i="9"/>
  <c r="L215" i="9"/>
  <c r="J215" i="9"/>
  <c r="K217" i="9"/>
  <c r="L217" i="9"/>
  <c r="J217" i="9"/>
  <c r="K219" i="9"/>
  <c r="J219" i="9"/>
  <c r="L219" i="9"/>
  <c r="L211" i="9"/>
  <c r="J211" i="9"/>
  <c r="K211" i="9"/>
  <c r="L212" i="9"/>
  <c r="K212" i="9"/>
  <c r="J212" i="9"/>
  <c r="L214" i="9"/>
  <c r="K214" i="9"/>
  <c r="J214" i="9"/>
  <c r="K216" i="9"/>
  <c r="L216" i="9"/>
  <c r="J216" i="9"/>
  <c r="J213" i="9"/>
  <c r="K213" i="9"/>
  <c r="L213" i="9"/>
  <c r="K206" i="9"/>
  <c r="J206" i="9"/>
  <c r="L206" i="9"/>
  <c r="J207" i="9"/>
  <c r="K207" i="9"/>
  <c r="L207" i="9"/>
  <c r="L208" i="9"/>
  <c r="K208" i="9"/>
  <c r="J208" i="9"/>
  <c r="K200" i="9"/>
  <c r="J200" i="9"/>
  <c r="L200" i="9"/>
  <c r="L201" i="9"/>
  <c r="K201" i="9"/>
  <c r="J201" i="9"/>
  <c r="K205" i="9"/>
  <c r="L205" i="9"/>
  <c r="J205" i="9"/>
  <c r="K202" i="9"/>
  <c r="L202" i="9"/>
  <c r="J202" i="9"/>
  <c r="L203" i="9"/>
  <c r="K203" i="9"/>
  <c r="J203" i="9"/>
  <c r="L204" i="9"/>
  <c r="K204" i="9"/>
  <c r="J204" i="9"/>
  <c r="K196" i="9"/>
  <c r="L196" i="9"/>
  <c r="J196" i="9"/>
  <c r="L197" i="9"/>
  <c r="K197" i="9"/>
  <c r="J197" i="9"/>
  <c r="L194" i="9"/>
  <c r="K194" i="9"/>
  <c r="J194" i="9"/>
  <c r="L191" i="9"/>
  <c r="J191" i="9"/>
  <c r="K191" i="9"/>
  <c r="K192" i="9"/>
  <c r="L192" i="9"/>
  <c r="J192" i="9"/>
  <c r="L195" i="9"/>
  <c r="K195" i="9"/>
  <c r="J195" i="9"/>
  <c r="L189" i="9"/>
  <c r="J189" i="9"/>
  <c r="K189" i="9"/>
  <c r="K190" i="9"/>
  <c r="L190" i="9"/>
  <c r="J190" i="9"/>
  <c r="J193" i="9"/>
  <c r="L193" i="9"/>
  <c r="K193" i="9"/>
  <c r="L179" i="9"/>
  <c r="J179" i="9"/>
  <c r="K179" i="9"/>
  <c r="J184" i="9"/>
  <c r="K184" i="9"/>
  <c r="L184" i="9"/>
  <c r="K180" i="9"/>
  <c r="L180" i="9"/>
  <c r="J180" i="9"/>
  <c r="J185" i="9"/>
  <c r="L185" i="9"/>
  <c r="K185" i="9"/>
  <c r="L186" i="9"/>
  <c r="K186" i="9"/>
  <c r="J186" i="9"/>
  <c r="L181" i="9"/>
  <c r="J181" i="9"/>
  <c r="K181" i="9"/>
  <c r="K183" i="9"/>
  <c r="L183" i="9"/>
  <c r="J183" i="9"/>
  <c r="L178" i="9"/>
  <c r="K178" i="9"/>
  <c r="J178" i="9"/>
  <c r="J182" i="9"/>
  <c r="K182" i="9"/>
  <c r="L182" i="9"/>
  <c r="L167" i="9"/>
  <c r="J167" i="9"/>
  <c r="K167" i="9"/>
  <c r="L168" i="9"/>
  <c r="J168" i="9"/>
  <c r="K168" i="9"/>
  <c r="L169" i="9"/>
  <c r="J169" i="9"/>
  <c r="K169" i="9"/>
  <c r="L170" i="9"/>
  <c r="K170" i="9"/>
  <c r="J170" i="9"/>
  <c r="L171" i="9"/>
  <c r="J171" i="9"/>
  <c r="K171" i="9"/>
  <c r="K172" i="9"/>
  <c r="J172" i="9"/>
  <c r="L172" i="9"/>
  <c r="L173" i="9"/>
  <c r="J173" i="9"/>
  <c r="K173" i="9"/>
  <c r="L174" i="9"/>
  <c r="K174" i="9"/>
  <c r="J174" i="9"/>
  <c r="L175" i="9"/>
  <c r="J175" i="9"/>
  <c r="K175" i="9"/>
  <c r="L156" i="9"/>
  <c r="K156" i="9"/>
  <c r="J156" i="9"/>
  <c r="L157" i="9"/>
  <c r="J157" i="9"/>
  <c r="K157" i="9"/>
  <c r="L158" i="9"/>
  <c r="K158" i="9"/>
  <c r="J158" i="9"/>
  <c r="L159" i="9"/>
  <c r="J159" i="9"/>
  <c r="K159" i="9"/>
  <c r="L160" i="9"/>
  <c r="K160" i="9"/>
  <c r="J160" i="9"/>
  <c r="L161" i="9"/>
  <c r="J161" i="9"/>
  <c r="K161" i="9"/>
  <c r="K162" i="9"/>
  <c r="L162" i="9"/>
  <c r="J162" i="9"/>
  <c r="L163" i="9"/>
  <c r="J163" i="9"/>
  <c r="K163" i="9"/>
  <c r="L164" i="9"/>
  <c r="K164" i="9"/>
  <c r="J164" i="9"/>
  <c r="L145" i="9"/>
  <c r="J145" i="9"/>
  <c r="K145" i="9"/>
  <c r="L146" i="9"/>
  <c r="K146" i="9"/>
  <c r="J146" i="9"/>
  <c r="L147" i="9"/>
  <c r="J147" i="9"/>
  <c r="K147" i="9"/>
  <c r="K148" i="9"/>
  <c r="L148" i="9"/>
  <c r="J148" i="9"/>
  <c r="L149" i="9"/>
  <c r="J149" i="9"/>
  <c r="K149" i="9"/>
  <c r="L150" i="9"/>
  <c r="K150" i="9"/>
  <c r="J150" i="9"/>
  <c r="L151" i="9"/>
  <c r="J151" i="9"/>
  <c r="K151" i="9"/>
  <c r="K152" i="9"/>
  <c r="L152" i="9"/>
  <c r="J152" i="9"/>
  <c r="L153" i="9"/>
  <c r="J153" i="9"/>
  <c r="K153" i="9"/>
  <c r="K135" i="9"/>
  <c r="J135" i="9"/>
  <c r="L135" i="9"/>
  <c r="K136" i="9"/>
  <c r="L136" i="9"/>
  <c r="J136" i="9"/>
  <c r="K137" i="9"/>
  <c r="J137" i="9"/>
  <c r="L137" i="9"/>
  <c r="L138" i="9"/>
  <c r="J138" i="9"/>
  <c r="K139" i="9"/>
  <c r="J139" i="9"/>
  <c r="L139" i="9"/>
  <c r="L140" i="9"/>
  <c r="K140" i="9"/>
  <c r="J140" i="9"/>
  <c r="K141" i="9"/>
  <c r="J141" i="9"/>
  <c r="L141" i="9"/>
  <c r="K142" i="9"/>
  <c r="L142" i="9"/>
  <c r="J142" i="9"/>
  <c r="K134" i="9"/>
  <c r="L134" i="9"/>
  <c r="J134" i="9"/>
  <c r="L123" i="9"/>
  <c r="J123" i="9"/>
  <c r="K123" i="9"/>
  <c r="L124" i="9"/>
  <c r="J124" i="9"/>
  <c r="K124" i="9"/>
  <c r="L125" i="9"/>
  <c r="J125" i="9"/>
  <c r="K125" i="9"/>
  <c r="L126" i="9"/>
  <c r="J126" i="9"/>
  <c r="K126" i="9"/>
  <c r="L127" i="9"/>
  <c r="J127" i="9"/>
  <c r="K127" i="9"/>
  <c r="L128" i="9"/>
  <c r="J128" i="9"/>
  <c r="K128" i="9"/>
  <c r="L129" i="9"/>
  <c r="J129" i="9"/>
  <c r="K129" i="9"/>
  <c r="L130" i="9"/>
  <c r="J130" i="9"/>
  <c r="K130" i="9"/>
  <c r="L131" i="9"/>
  <c r="J131" i="9"/>
  <c r="K131" i="9"/>
  <c r="K112" i="9"/>
  <c r="L112" i="9"/>
  <c r="J112" i="9"/>
  <c r="K113" i="9"/>
  <c r="L113" i="9"/>
  <c r="J113" i="9"/>
  <c r="J114" i="9"/>
  <c r="L114" i="9"/>
  <c r="L115" i="9"/>
  <c r="K115" i="9"/>
  <c r="J115" i="9"/>
  <c r="L116" i="9"/>
  <c r="J116" i="9"/>
  <c r="K117" i="9"/>
  <c r="L117" i="9"/>
  <c r="J117" i="9"/>
  <c r="K118" i="9"/>
  <c r="J118" i="9"/>
  <c r="L118" i="9"/>
  <c r="K119" i="9"/>
  <c r="L119" i="9"/>
  <c r="J119" i="9"/>
  <c r="L120" i="9"/>
  <c r="J120" i="9"/>
  <c r="J101" i="9"/>
  <c r="K101" i="9"/>
  <c r="L101" i="9"/>
  <c r="K102" i="9"/>
  <c r="L102" i="9"/>
  <c r="J102" i="9"/>
  <c r="J103" i="9"/>
  <c r="L103" i="9"/>
  <c r="K103" i="9"/>
  <c r="K109" i="9"/>
  <c r="L109" i="9"/>
  <c r="J109" i="9"/>
  <c r="K105" i="9"/>
  <c r="L105" i="9"/>
  <c r="J105" i="9"/>
  <c r="J107" i="9"/>
  <c r="K107" i="9"/>
  <c r="L107" i="9"/>
  <c r="L104" i="9"/>
  <c r="K104" i="9"/>
  <c r="J104" i="9"/>
  <c r="K106" i="9"/>
  <c r="L106" i="9"/>
  <c r="J106" i="9"/>
  <c r="L108" i="9"/>
  <c r="K108" i="9"/>
  <c r="J108" i="9"/>
  <c r="L98" i="9"/>
  <c r="J98" i="9"/>
  <c r="K98" i="9"/>
  <c r="L97" i="9"/>
  <c r="J97" i="9"/>
  <c r="K97" i="9"/>
  <c r="K91" i="9"/>
  <c r="J91" i="9"/>
  <c r="L91" i="9"/>
  <c r="J93" i="9"/>
  <c r="L93" i="9"/>
  <c r="K93" i="9"/>
  <c r="K95" i="9"/>
  <c r="J95" i="9"/>
  <c r="L95" i="9"/>
  <c r="L92" i="9"/>
  <c r="J92" i="9"/>
  <c r="K92" i="9"/>
  <c r="J94" i="9"/>
  <c r="K94" i="9"/>
  <c r="L94" i="9"/>
  <c r="J96" i="9"/>
  <c r="L96" i="9"/>
  <c r="K96" i="9"/>
  <c r="K90" i="9"/>
  <c r="L90" i="9"/>
  <c r="J90" i="9"/>
  <c r="L86" i="9"/>
  <c r="L84" i="9"/>
  <c r="J84" i="9"/>
  <c r="K84" i="9"/>
  <c r="J83" i="9"/>
  <c r="K83" i="9"/>
  <c r="L83" i="9"/>
  <c r="J86" i="9"/>
  <c r="K86" i="9"/>
  <c r="E69" i="9"/>
  <c r="E70" i="9"/>
  <c r="E71" i="9"/>
  <c r="E72" i="9"/>
  <c r="E73" i="9"/>
  <c r="E74" i="9"/>
  <c r="E75" i="9"/>
  <c r="E76" i="9"/>
  <c r="E68" i="9"/>
  <c r="L87" i="9"/>
  <c r="J87" i="9"/>
  <c r="K87" i="9"/>
  <c r="K85" i="9"/>
  <c r="L85" i="9"/>
  <c r="J85" i="9"/>
  <c r="L80" i="9"/>
  <c r="J80" i="9"/>
  <c r="K80" i="9"/>
  <c r="D76" i="9"/>
  <c r="D68" i="9"/>
  <c r="D69" i="9"/>
  <c r="D70" i="9"/>
  <c r="D71" i="9"/>
  <c r="D72" i="9"/>
  <c r="D73" i="9"/>
  <c r="D74" i="9"/>
  <c r="D75" i="9"/>
  <c r="J81" i="9"/>
  <c r="L81" i="9"/>
  <c r="K81" i="9"/>
  <c r="J79" i="9"/>
  <c r="L79" i="9"/>
  <c r="K79" i="9"/>
  <c r="K82" i="9"/>
  <c r="J82" i="9"/>
  <c r="L82" i="9"/>
  <c r="K68" i="9" l="1"/>
  <c r="K75" i="9"/>
  <c r="L75" i="9"/>
  <c r="J75" i="9"/>
  <c r="K74" i="9"/>
  <c r="L74" i="9"/>
  <c r="J74" i="9"/>
  <c r="K76" i="9"/>
  <c r="L76" i="9"/>
  <c r="J76" i="9"/>
  <c r="K73" i="9"/>
  <c r="L73" i="9"/>
  <c r="J73" i="9"/>
  <c r="L69" i="9"/>
  <c r="K69" i="9"/>
  <c r="J69" i="9"/>
  <c r="L68" i="9"/>
  <c r="J68" i="9"/>
  <c r="L72" i="9"/>
  <c r="K72" i="9"/>
  <c r="J72" i="9"/>
  <c r="L71" i="9"/>
  <c r="K71" i="9"/>
  <c r="J71" i="9"/>
  <c r="L70" i="9"/>
  <c r="K70" i="9"/>
  <c r="J70" i="9"/>
</calcChain>
</file>

<file path=xl/sharedStrings.xml><?xml version="1.0" encoding="utf-8"?>
<sst xmlns="http://schemas.openxmlformats.org/spreadsheetml/2006/main" count="1332" uniqueCount="143">
  <si>
    <t>ICE Delay Odzg</t>
  </si>
  <si>
    <t>Originele vertrektijd Odzg = 09:56:06</t>
  </si>
  <si>
    <t>140/240</t>
  </si>
  <si>
    <t>Amersfoort</t>
  </si>
  <si>
    <t>A140-late</t>
  </si>
  <si>
    <t>Vertraging in Amersfoort</t>
  </si>
  <si>
    <t>Utrecht</t>
  </si>
  <si>
    <t>C1700-17</t>
  </si>
  <si>
    <t>Vertraging van nationale treinen (eerste hub buiten corridor)</t>
  </si>
  <si>
    <t>Apeldoorn</t>
  </si>
  <si>
    <t>A7000-15</t>
  </si>
  <si>
    <t>Goor</t>
  </si>
  <si>
    <t>D31200-18</t>
  </si>
  <si>
    <t>Nijverdal</t>
  </si>
  <si>
    <t>A7900-17</t>
  </si>
  <si>
    <t>A31300-19</t>
  </si>
  <si>
    <t>Zwolle</t>
  </si>
  <si>
    <t>A3600-5</t>
  </si>
  <si>
    <t>Hengelo</t>
  </si>
  <si>
    <t>B36100-18</t>
  </si>
  <si>
    <t>Wordt niet meegenomen in  punctualiteit</t>
  </si>
  <si>
    <t>-</t>
  </si>
  <si>
    <t>Komt niet vanaf Odz dus geen aankomstvertr.</t>
  </si>
  <si>
    <t>Vetragingen bij transfer hubs</t>
  </si>
  <si>
    <t>Zutphen</t>
  </si>
  <si>
    <t>Total delay all trains in the scope at the first hub outside the corridor</t>
  </si>
  <si>
    <t>Totale vertraging (ICE en nationale treinen)</t>
  </si>
  <si>
    <t>Is de ICE op tijd?</t>
  </si>
  <si>
    <t>Zijn de nationale treinen op tijd?</t>
  </si>
  <si>
    <t>Met hoe veel minuten vetraging haalt de ICE zn slot in Amersfoort?</t>
  </si>
  <si>
    <t>Hoe veel minuten te laat mag de 31200 en 7900 komen om hun domestic transfer te halen?</t>
  </si>
  <si>
    <t>Punctuality</t>
  </si>
  <si>
    <t>Punctualiteit nationale treinen</t>
  </si>
  <si>
    <t>Diff ICE delay BB and Amf</t>
  </si>
  <si>
    <t>+ -&gt; Extra delay</t>
  </si>
  <si>
    <t>- -&gt; less delay</t>
  </si>
  <si>
    <t>Als/Hoeveel de ICE te vroeg is in Amf</t>
  </si>
  <si>
    <t>-00:01:54</t>
  </si>
  <si>
    <t xml:space="preserve">Regional transfer </t>
  </si>
  <si>
    <t>Gemiste transfers</t>
  </si>
  <si>
    <t>Oldenzaal</t>
  </si>
  <si>
    <t>Wat is er gedaan in OpenTrack om dit te bereiken?</t>
  </si>
  <si>
    <t>C31200-13</t>
  </si>
  <si>
    <t>Nieuwe itinerary gemaakt Zp-Hgl</t>
  </si>
  <si>
    <t>Nieuwe itinerary gemaakt Hgl-Zp</t>
  </si>
  <si>
    <t>A31200-15</t>
  </si>
  <si>
    <t>D31200-18: Itinerary veranderd</t>
  </si>
  <si>
    <t>B31200-20</t>
  </si>
  <si>
    <t>A31200-15: Itinerary veranderd</t>
  </si>
  <si>
    <t>D31200-18: Connectie met C31200-13 in Oldenzaal is verbroken</t>
  </si>
  <si>
    <t>D31200-18: Connectie met A31200-15 in Hengelo is toegevoegd</t>
  </si>
  <si>
    <t>C31200-13: Connectie met B31200-20 ipv D31200-18 zodat deze een half uur later gaat</t>
  </si>
  <si>
    <t>B31200-20: Connectie met C31200-13 ipv A31200-15</t>
  </si>
  <si>
    <t>A31200-15: Connectie met D31200-18 in Hengelo toegevoegd</t>
  </si>
  <si>
    <t>C31200-13: Aankomst Oldenzaal op perron 1b ipv 1</t>
  </si>
  <si>
    <t>Hgl3b-Ddn2</t>
  </si>
  <si>
    <t>Ddn2-Go1</t>
  </si>
  <si>
    <t>Go1-Lc2</t>
  </si>
  <si>
    <t>Lc2-Lr702</t>
  </si>
  <si>
    <t>Lr702-Zp2b (/P:1)</t>
  </si>
  <si>
    <t>Originele aankomst Amf = 10:24:00</t>
  </si>
  <si>
    <t>Extra delay</t>
  </si>
  <si>
    <t>Less delay</t>
  </si>
  <si>
    <t xml:space="preserve"> </t>
  </si>
  <si>
    <t>ICE arriveert nooit in Amersfoort</t>
  </si>
  <si>
    <t>N/A</t>
  </si>
  <si>
    <t>3 minute delay</t>
  </si>
  <si>
    <t>Total delay</t>
  </si>
  <si>
    <t>Total punctuality</t>
  </si>
  <si>
    <t>Diff ICE delay</t>
  </si>
  <si>
    <t>Transfer punct</t>
  </si>
  <si>
    <t>4 minute delay</t>
  </si>
  <si>
    <t>5 minute delay</t>
  </si>
  <si>
    <t>Cancel stop Hgl-Odz-Zp</t>
  </si>
  <si>
    <t>ICE waits</t>
  </si>
  <si>
    <t>Stop waits</t>
  </si>
  <si>
    <t>Remove stop Hengelo</t>
  </si>
  <si>
    <t>Extra platform Hengelo</t>
  </si>
  <si>
    <t>Short-turn Hengelo</t>
  </si>
  <si>
    <t>Overtake Rijssen</t>
  </si>
  <si>
    <t>Alternative ICE path</t>
  </si>
  <si>
    <t>Stop Almelo</t>
  </si>
  <si>
    <t>6 minute delay</t>
  </si>
  <si>
    <t>7 minute delay</t>
  </si>
  <si>
    <t>8 minute delay</t>
  </si>
  <si>
    <t>9 minute delay</t>
  </si>
  <si>
    <t>10 minute delay</t>
  </si>
  <si>
    <t>11 minute delay</t>
  </si>
  <si>
    <t>12 minute delay</t>
  </si>
  <si>
    <t>13 minute delay</t>
  </si>
  <si>
    <t>14 minute delay</t>
  </si>
  <si>
    <t>15 minute delay</t>
  </si>
  <si>
    <t>20 minute delay</t>
  </si>
  <si>
    <t>25 minute delay</t>
  </si>
  <si>
    <t>Total</t>
  </si>
  <si>
    <t>Aantal cancelled stops ICE</t>
  </si>
  <si>
    <t>Aantal cancelled stops Stop trains</t>
  </si>
  <si>
    <t>Met # min delay haalt ICE zn pad</t>
  </si>
  <si>
    <t xml:space="preserve">Overall </t>
  </si>
  <si>
    <t>KPI1</t>
  </si>
  <si>
    <t>KPI2</t>
  </si>
  <si>
    <t>KPI3</t>
  </si>
  <si>
    <t>KPI4</t>
  </si>
  <si>
    <t>KPI5</t>
  </si>
  <si>
    <t>KPI6</t>
  </si>
  <si>
    <t>KPI7</t>
  </si>
  <si>
    <t>KPI8</t>
  </si>
  <si>
    <t>Gemiddelde</t>
  </si>
  <si>
    <t>Gemiddelde ICE Prioritize</t>
  </si>
  <si>
    <t>Prioritize domestic</t>
  </si>
  <si>
    <t>Score</t>
  </si>
  <si>
    <t>3 min delay</t>
  </si>
  <si>
    <t>4 min delay</t>
  </si>
  <si>
    <t>5 min delay</t>
  </si>
  <si>
    <t>6 min delay</t>
  </si>
  <si>
    <t>7 min delay</t>
  </si>
  <si>
    <t>8 min delay</t>
  </si>
  <si>
    <t>9 min delay</t>
  </si>
  <si>
    <t>10 min delay</t>
  </si>
  <si>
    <t>11 min delay</t>
  </si>
  <si>
    <t>12 min delay</t>
  </si>
  <si>
    <t>13 min delay</t>
  </si>
  <si>
    <t>14 min delay</t>
  </si>
  <si>
    <t>15 min delay</t>
  </si>
  <si>
    <t>20 min delay</t>
  </si>
  <si>
    <t>25 min delay</t>
  </si>
  <si>
    <t>Delay</t>
  </si>
  <si>
    <t>Overall</t>
  </si>
  <si>
    <t>3 minute</t>
  </si>
  <si>
    <t>5 minute</t>
  </si>
  <si>
    <t>6 minute</t>
  </si>
  <si>
    <t>7 minute</t>
  </si>
  <si>
    <t>8 minute</t>
  </si>
  <si>
    <t>9 minute</t>
  </si>
  <si>
    <t>10 minute</t>
  </si>
  <si>
    <t>11 minute</t>
  </si>
  <si>
    <t>12 minute</t>
  </si>
  <si>
    <t>13 minute</t>
  </si>
  <si>
    <t>14 minute</t>
  </si>
  <si>
    <t>15 minute</t>
  </si>
  <si>
    <t>20 minute</t>
  </si>
  <si>
    <t>25 minute</t>
  </si>
  <si>
    <t>4 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</si>
</sst>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1" xfId="0" applyBorder="1" applyAlignment="1">
      <alignment horizontal="right"/>
    </xf>
    <xf numFmtId="164" fontId="0" fillId="0" borderId="1" xfId="0" applyNumberFormat="1" applyBorder="1"/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21" fontId="0" fillId="0" borderId="0" xfId="0" applyNumberFormat="1"/>
    <xf numFmtId="10" fontId="0" fillId="0" borderId="0" xfId="0" applyNumberFormat="1"/>
    <xf numFmtId="0" fontId="2" fillId="0" borderId="0" xfId="0" applyFont="1"/>
    <xf numFmtId="0" fontId="0" fillId="0" borderId="4" xfId="0" applyBorder="1"/>
    <xf numFmtId="164" fontId="1" fillId="0" borderId="0" xfId="0" applyNumberFormat="1" applyFont="1"/>
    <xf numFmtId="21" fontId="0" fillId="0" borderId="0" xfId="0" quotePrefix="1" applyNumberFormat="1"/>
    <xf numFmtId="0" fontId="1" fillId="0" borderId="4" xfId="0" applyFont="1" applyBorder="1"/>
    <xf numFmtId="0" fontId="0" fillId="0" borderId="5" xfId="0" applyBorder="1"/>
    <xf numFmtId="21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164" fontId="0" fillId="0" borderId="4" xfId="0" applyNumberFormat="1" applyBorder="1"/>
    <xf numFmtId="20" fontId="0" fillId="0" borderId="0" xfId="0" applyNumberFormat="1"/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6" xfId="0" applyNumberFormat="1" applyBorder="1" applyAlignment="1">
      <alignment horizontal="right"/>
    </xf>
    <xf numFmtId="46" fontId="0" fillId="0" borderId="0" xfId="0" applyNumberFormat="1"/>
    <xf numFmtId="164" fontId="0" fillId="0" borderId="1" xfId="0" applyNumberFormat="1" applyBorder="1" applyAlignment="1">
      <alignment horizontal="right"/>
    </xf>
    <xf numFmtId="164" fontId="0" fillId="2" borderId="0" xfId="0" applyNumberFormat="1" applyFill="1"/>
    <xf numFmtId="0" fontId="0" fillId="0" borderId="4" xfId="0" applyBorder="1" applyAlignment="1">
      <alignment horizontal="left"/>
    </xf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Score per minute ICE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7.8710118481488761E-2"/>
          <c:y val="7.6636616867990337E-2"/>
          <c:w val="0.90490254638307932"/>
          <c:h val="0.76097512404957235"/>
        </c:manualLayout>
      </c:layout>
      <c:lineChart>
        <c:grouping val="standard"/>
        <c:varyColors val="0"/>
        <c:ser>
          <c:idx val="1"/>
          <c:order val="0"/>
          <c:tx>
            <c:v>Cancel stop Hgl-Odz-Zp</c:v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Summary!$O$241:$O$255</c:f>
              <c:strCache>
                <c:ptCount val="15"/>
                <c:pt idx="0">
                  <c:v>3 min delay</c:v>
                </c:pt>
                <c:pt idx="1">
                  <c:v>4 min delay</c:v>
                </c:pt>
                <c:pt idx="2">
                  <c:v>5 min delay</c:v>
                </c:pt>
                <c:pt idx="3">
                  <c:v>6 min delay</c:v>
                </c:pt>
                <c:pt idx="4">
                  <c:v>7 min delay</c:v>
                </c:pt>
                <c:pt idx="5">
                  <c:v>8 min delay</c:v>
                </c:pt>
                <c:pt idx="6">
                  <c:v>9 min delay</c:v>
                </c:pt>
                <c:pt idx="7">
                  <c:v>10 min delay</c:v>
                </c:pt>
                <c:pt idx="8">
                  <c:v>11 min delay</c:v>
                </c:pt>
                <c:pt idx="9">
                  <c:v>12 min delay</c:v>
                </c:pt>
                <c:pt idx="10">
                  <c:v>13 min delay</c:v>
                </c:pt>
                <c:pt idx="11">
                  <c:v>14 min delay</c:v>
                </c:pt>
                <c:pt idx="12">
                  <c:v>15 min delay</c:v>
                </c:pt>
                <c:pt idx="13">
                  <c:v>20 min delay</c:v>
                </c:pt>
                <c:pt idx="14">
                  <c:v>25 min delay</c:v>
                </c:pt>
              </c:strCache>
            </c:strRef>
          </c:cat>
          <c:val>
            <c:numRef>
              <c:f>(Summary!$J$79,Summary!$J$90,Summary!$J$101,Summary!$J$112,Summary!$J$123,Summary!$J$134,Summary!$J$145,Summary!$J$156,Summary!$J$167,Summary!$J$178,Summary!$J$189,Summary!$J$200,Summary!$J$211,Summary!$J$222,Summary!$J$233)</c:f>
              <c:numCache>
                <c:formatCode>0.00</c:formatCode>
                <c:ptCount val="15"/>
                <c:pt idx="0">
                  <c:v>3.9515578318395224</c:v>
                </c:pt>
                <c:pt idx="1">
                  <c:v>4.0371560667568787</c:v>
                </c:pt>
                <c:pt idx="2">
                  <c:v>3.7758688783570302</c:v>
                </c:pt>
                <c:pt idx="3">
                  <c:v>3.7211193745232647</c:v>
                </c:pt>
                <c:pt idx="4">
                  <c:v>3.6404422016041287</c:v>
                </c:pt>
                <c:pt idx="5">
                  <c:v>3.6565000754944892</c:v>
                </c:pt>
                <c:pt idx="6">
                  <c:v>3.6681649114008694</c:v>
                </c:pt>
                <c:pt idx="7">
                  <c:v>3.8333001447024304</c:v>
                </c:pt>
                <c:pt idx="8">
                  <c:v>3.8820276057989491</c:v>
                </c:pt>
                <c:pt idx="9">
                  <c:v>4.136784687736462</c:v>
                </c:pt>
                <c:pt idx="10">
                  <c:v>3.9832170453421485</c:v>
                </c:pt>
                <c:pt idx="11">
                  <c:v>3.9223632722077162</c:v>
                </c:pt>
                <c:pt idx="12">
                  <c:v>3.8678702439285622</c:v>
                </c:pt>
                <c:pt idx="13">
                  <c:v>3.9588235294117649</c:v>
                </c:pt>
                <c:pt idx="14">
                  <c:v>4.4588235294117649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AB-4979-84EE-30B7795F8478}"/>
            </c:ext>
          </c:extLst>
        </c:ser>
        <c:ser>
          <c:idx val="0"/>
          <c:order val="1"/>
          <c:tx>
            <c:v>ICE waits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Summary!$O$241:$O$255</c:f>
              <c:strCache>
                <c:ptCount val="15"/>
                <c:pt idx="0">
                  <c:v>3 min delay</c:v>
                </c:pt>
                <c:pt idx="1">
                  <c:v>4 min delay</c:v>
                </c:pt>
                <c:pt idx="2">
                  <c:v>5 min delay</c:v>
                </c:pt>
                <c:pt idx="3">
                  <c:v>6 min delay</c:v>
                </c:pt>
                <c:pt idx="4">
                  <c:v>7 min delay</c:v>
                </c:pt>
                <c:pt idx="5">
                  <c:v>8 min delay</c:v>
                </c:pt>
                <c:pt idx="6">
                  <c:v>9 min delay</c:v>
                </c:pt>
                <c:pt idx="7">
                  <c:v>10 min delay</c:v>
                </c:pt>
                <c:pt idx="8">
                  <c:v>11 min delay</c:v>
                </c:pt>
                <c:pt idx="9">
                  <c:v>12 min delay</c:v>
                </c:pt>
                <c:pt idx="10">
                  <c:v>13 min delay</c:v>
                </c:pt>
                <c:pt idx="11">
                  <c:v>14 min delay</c:v>
                </c:pt>
                <c:pt idx="12">
                  <c:v>15 min delay</c:v>
                </c:pt>
                <c:pt idx="13">
                  <c:v>20 min delay</c:v>
                </c:pt>
                <c:pt idx="14">
                  <c:v>25 min delay</c:v>
                </c:pt>
              </c:strCache>
            </c:strRef>
          </c:cat>
          <c:val>
            <c:numRef>
              <c:f>(Summary!$J$80,Summary!$J$91,Summary!$J$102,Summary!$J$113,Summary!$J$124,Summary!$J$135,Summary!$J$146,Summary!$J$157,Summary!$J$168,Summary!$J$179,Summary!$J$190,Summary!$J$201,Summary!$J$212,Summary!$J$223,Summary!$J$234)</c:f>
              <c:numCache>
                <c:formatCode>0.00</c:formatCode>
                <c:ptCount val="15"/>
                <c:pt idx="0">
                  <c:v>3.6678759425238296</c:v>
                </c:pt>
                <c:pt idx="1">
                  <c:v>3.464516614043001</c:v>
                </c:pt>
                <c:pt idx="2">
                  <c:v>3.4256918461239989</c:v>
                </c:pt>
                <c:pt idx="3">
                  <c:v>4.2640764047800666</c:v>
                </c:pt>
                <c:pt idx="4">
                  <c:v>4.3020854709266052</c:v>
                </c:pt>
                <c:pt idx="5">
                  <c:v>4.266982065864747</c:v>
                </c:pt>
                <c:pt idx="6">
                  <c:v>4.336925359411568</c:v>
                </c:pt>
                <c:pt idx="7">
                  <c:v>4.3449714799031778</c:v>
                </c:pt>
                <c:pt idx="8">
                  <c:v>4.3856252258349251</c:v>
                </c:pt>
                <c:pt idx="9">
                  <c:v>4.248308000001737</c:v>
                </c:pt>
                <c:pt idx="10">
                  <c:v>4.2686016107150113</c:v>
                </c:pt>
                <c:pt idx="11">
                  <c:v>4.2118633223028965</c:v>
                </c:pt>
                <c:pt idx="12">
                  <c:v>4.3172186967270907</c:v>
                </c:pt>
                <c:pt idx="13">
                  <c:v>4.2777777777777777</c:v>
                </c:pt>
                <c:pt idx="14">
                  <c:v>4.7777777777777777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AB-4979-84EE-30B7795F8478}"/>
            </c:ext>
          </c:extLst>
        </c:ser>
        <c:ser>
          <c:idx val="2"/>
          <c:order val="2"/>
          <c:tx>
            <c:v>Stop waits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Summary!$O$241:$O$255</c:f>
              <c:strCache>
                <c:ptCount val="15"/>
                <c:pt idx="0">
                  <c:v>3 min delay</c:v>
                </c:pt>
                <c:pt idx="1">
                  <c:v>4 min delay</c:v>
                </c:pt>
                <c:pt idx="2">
                  <c:v>5 min delay</c:v>
                </c:pt>
                <c:pt idx="3">
                  <c:v>6 min delay</c:v>
                </c:pt>
                <c:pt idx="4">
                  <c:v>7 min delay</c:v>
                </c:pt>
                <c:pt idx="5">
                  <c:v>8 min delay</c:v>
                </c:pt>
                <c:pt idx="6">
                  <c:v>9 min delay</c:v>
                </c:pt>
                <c:pt idx="7">
                  <c:v>10 min delay</c:v>
                </c:pt>
                <c:pt idx="8">
                  <c:v>11 min delay</c:v>
                </c:pt>
                <c:pt idx="9">
                  <c:v>12 min delay</c:v>
                </c:pt>
                <c:pt idx="10">
                  <c:v>13 min delay</c:v>
                </c:pt>
                <c:pt idx="11">
                  <c:v>14 min delay</c:v>
                </c:pt>
                <c:pt idx="12">
                  <c:v>15 min delay</c:v>
                </c:pt>
                <c:pt idx="13">
                  <c:v>20 min delay</c:v>
                </c:pt>
                <c:pt idx="14">
                  <c:v>25 min delay</c:v>
                </c:pt>
              </c:strCache>
            </c:strRef>
          </c:cat>
          <c:val>
            <c:numRef>
              <c:f>(Summary!$J$81,Summary!$J$92,Summary!$J$103,Summary!$J$114,Summary!$J$125,Summary!$J$136,Summary!$J$147,Summary!$J$158,Summary!$J$169,Summary!$J$180,Summary!$J$191,Summary!$J$202,Summary!$J$213,Summary!$J$224,Summary!$J$235)</c:f>
              <c:numCache>
                <c:formatCode>0.00</c:formatCode>
                <c:ptCount val="15"/>
                <c:pt idx="0">
                  <c:v>4.2552283397353818</c:v>
                </c:pt>
                <c:pt idx="1">
                  <c:v>4.2281799729364007</c:v>
                </c:pt>
                <c:pt idx="2">
                  <c:v>3.7540222000498877</c:v>
                </c:pt>
                <c:pt idx="3">
                  <c:v>3.7165903890160186</c:v>
                </c:pt>
                <c:pt idx="4">
                  <c:v>3.6871967654986522</c:v>
                </c:pt>
                <c:pt idx="5">
                  <c:v>3.4560810810810811</c:v>
                </c:pt>
                <c:pt idx="6">
                  <c:v>3.4604166666666667</c:v>
                </c:pt>
                <c:pt idx="7">
                  <c:v>3.4110312371394054</c:v>
                </c:pt>
                <c:pt idx="8">
                  <c:v>3.4040284360189572</c:v>
                </c:pt>
                <c:pt idx="9">
                  <c:v>3.4040284360189572</c:v>
                </c:pt>
                <c:pt idx="10">
                  <c:v>3.4040284360189572</c:v>
                </c:pt>
                <c:pt idx="11">
                  <c:v>3.4040284360189572</c:v>
                </c:pt>
                <c:pt idx="12">
                  <c:v>3.5706951026856242</c:v>
                </c:pt>
                <c:pt idx="13">
                  <c:v>3</c:v>
                </c:pt>
                <c:pt idx="14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AB-4979-84EE-30B7795F8478}"/>
            </c:ext>
          </c:extLst>
        </c:ser>
        <c:ser>
          <c:idx val="3"/>
          <c:order val="3"/>
          <c:tx>
            <c:v>Remove stop Hengelo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Summary!$O$241:$O$255</c:f>
              <c:strCache>
                <c:ptCount val="15"/>
                <c:pt idx="0">
                  <c:v>3 min delay</c:v>
                </c:pt>
                <c:pt idx="1">
                  <c:v>4 min delay</c:v>
                </c:pt>
                <c:pt idx="2">
                  <c:v>5 min delay</c:v>
                </c:pt>
                <c:pt idx="3">
                  <c:v>6 min delay</c:v>
                </c:pt>
                <c:pt idx="4">
                  <c:v>7 min delay</c:v>
                </c:pt>
                <c:pt idx="5">
                  <c:v>8 min delay</c:v>
                </c:pt>
                <c:pt idx="6">
                  <c:v>9 min delay</c:v>
                </c:pt>
                <c:pt idx="7">
                  <c:v>10 min delay</c:v>
                </c:pt>
                <c:pt idx="8">
                  <c:v>11 min delay</c:v>
                </c:pt>
                <c:pt idx="9">
                  <c:v>12 min delay</c:v>
                </c:pt>
                <c:pt idx="10">
                  <c:v>13 min delay</c:v>
                </c:pt>
                <c:pt idx="11">
                  <c:v>14 min delay</c:v>
                </c:pt>
                <c:pt idx="12">
                  <c:v>15 min delay</c:v>
                </c:pt>
                <c:pt idx="13">
                  <c:v>20 min delay</c:v>
                </c:pt>
                <c:pt idx="14">
                  <c:v>25 min delay</c:v>
                </c:pt>
              </c:strCache>
            </c:strRef>
          </c:cat>
          <c:val>
            <c:numRef>
              <c:f>(Summary!$J$82,Summary!$J$93,Summary!$J$104,Summary!$J$115,Summary!$J$126,Summary!$J$137,Summary!$J$148,Summary!$J$159,Summary!$J$170,Summary!$J$181,Summary!$J$192,Summary!$J$203,Summary!$J$214,Summary!$J$225,Summary!$J$236)</c:f>
              <c:numCache>
                <c:formatCode>0.00</c:formatCode>
                <c:ptCount val="15"/>
                <c:pt idx="0">
                  <c:v>4.7833333333333332</c:v>
                </c:pt>
                <c:pt idx="1">
                  <c:v>4.7833333333333332</c:v>
                </c:pt>
                <c:pt idx="2">
                  <c:v>4.2624012638230644</c:v>
                </c:pt>
                <c:pt idx="3">
                  <c:v>4.1807971014492749</c:v>
                </c:pt>
                <c:pt idx="4">
                  <c:v>4.3461460446247466</c:v>
                </c:pt>
                <c:pt idx="5">
                  <c:v>4.095949720670391</c:v>
                </c:pt>
                <c:pt idx="6">
                  <c:v>3.9137662988966904</c:v>
                </c:pt>
                <c:pt idx="7">
                  <c:v>4.3953449626296015</c:v>
                </c:pt>
                <c:pt idx="8">
                  <c:v>4.4129740566084141</c:v>
                </c:pt>
                <c:pt idx="9">
                  <c:v>4.3945615495116757</c:v>
                </c:pt>
                <c:pt idx="10">
                  <c:v>4.4223920014568359</c:v>
                </c:pt>
                <c:pt idx="11">
                  <c:v>4.6409235367102708</c:v>
                </c:pt>
                <c:pt idx="12">
                  <c:v>4.4478137467534209</c:v>
                </c:pt>
                <c:pt idx="13">
                  <c:v>4.3225396136314309</c:v>
                </c:pt>
                <c:pt idx="14">
                  <c:v>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AB-4979-84EE-30B7795F8478}"/>
            </c:ext>
          </c:extLst>
        </c:ser>
        <c:ser>
          <c:idx val="4"/>
          <c:order val="4"/>
          <c:tx>
            <c:v>Extra platform Hengelo</c:v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Summary!$O$241:$O$255</c:f>
              <c:strCache>
                <c:ptCount val="15"/>
                <c:pt idx="0">
                  <c:v>3 min delay</c:v>
                </c:pt>
                <c:pt idx="1">
                  <c:v>4 min delay</c:v>
                </c:pt>
                <c:pt idx="2">
                  <c:v>5 min delay</c:v>
                </c:pt>
                <c:pt idx="3">
                  <c:v>6 min delay</c:v>
                </c:pt>
                <c:pt idx="4">
                  <c:v>7 min delay</c:v>
                </c:pt>
                <c:pt idx="5">
                  <c:v>8 min delay</c:v>
                </c:pt>
                <c:pt idx="6">
                  <c:v>9 min delay</c:v>
                </c:pt>
                <c:pt idx="7">
                  <c:v>10 min delay</c:v>
                </c:pt>
                <c:pt idx="8">
                  <c:v>11 min delay</c:v>
                </c:pt>
                <c:pt idx="9">
                  <c:v>12 min delay</c:v>
                </c:pt>
                <c:pt idx="10">
                  <c:v>13 min delay</c:v>
                </c:pt>
                <c:pt idx="11">
                  <c:v>14 min delay</c:v>
                </c:pt>
                <c:pt idx="12">
                  <c:v>15 min delay</c:v>
                </c:pt>
                <c:pt idx="13">
                  <c:v>20 min delay</c:v>
                </c:pt>
                <c:pt idx="14">
                  <c:v>25 min delay</c:v>
                </c:pt>
              </c:strCache>
            </c:strRef>
          </c:cat>
          <c:val>
            <c:numRef>
              <c:f>(Summary!$J$83,Summary!$J$94,Summary!$J$105,Summary!$J$116,Summary!$J$127,Summary!$J$138,Summary!$J$149,Summary!$J$160,Summary!$J$171,Summary!$J$182,Summary!$J$193,Summary!$J$204,Summary!$J$215,Summary!$J$226,Summary!$J$237)</c:f>
              <c:numCache>
                <c:formatCode>0.00</c:formatCode>
                <c:ptCount val="15"/>
                <c:pt idx="0">
                  <c:v>3.9250960307298337</c:v>
                </c:pt>
                <c:pt idx="1">
                  <c:v>3.8955232295895352</c:v>
                </c:pt>
                <c:pt idx="2">
                  <c:v>3.4338467614533963</c:v>
                </c:pt>
                <c:pt idx="3">
                  <c:v>3.3832570556826846</c:v>
                </c:pt>
                <c:pt idx="4">
                  <c:v>3.2932967201194074</c:v>
                </c:pt>
                <c:pt idx="5">
                  <c:v>3.6794956968141324</c:v>
                </c:pt>
                <c:pt idx="6">
                  <c:v>3.7007627047810097</c:v>
                </c:pt>
                <c:pt idx="7">
                  <c:v>3.9019275956828228</c:v>
                </c:pt>
                <c:pt idx="8">
                  <c:v>3.9287274812659478</c:v>
                </c:pt>
                <c:pt idx="9">
                  <c:v>3.9210660837243712</c:v>
                </c:pt>
                <c:pt idx="10">
                  <c:v>3.6527118766275009</c:v>
                </c:pt>
                <c:pt idx="11">
                  <c:v>3.9539232361391861</c:v>
                </c:pt>
                <c:pt idx="12">
                  <c:v>4.217587758052856</c:v>
                </c:pt>
                <c:pt idx="13">
                  <c:v>4</c:v>
                </c:pt>
                <c:pt idx="14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AB-4979-84EE-30B7795F8478}"/>
            </c:ext>
          </c:extLst>
        </c:ser>
        <c:ser>
          <c:idx val="5"/>
          <c:order val="5"/>
          <c:tx>
            <c:v>Short-turn Hengelo</c:v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Summary!$O$241:$O$255</c:f>
              <c:strCache>
                <c:ptCount val="15"/>
                <c:pt idx="0">
                  <c:v>3 min delay</c:v>
                </c:pt>
                <c:pt idx="1">
                  <c:v>4 min delay</c:v>
                </c:pt>
                <c:pt idx="2">
                  <c:v>5 min delay</c:v>
                </c:pt>
                <c:pt idx="3">
                  <c:v>6 min delay</c:v>
                </c:pt>
                <c:pt idx="4">
                  <c:v>7 min delay</c:v>
                </c:pt>
                <c:pt idx="5">
                  <c:v>8 min delay</c:v>
                </c:pt>
                <c:pt idx="6">
                  <c:v>9 min delay</c:v>
                </c:pt>
                <c:pt idx="7">
                  <c:v>10 min delay</c:v>
                </c:pt>
                <c:pt idx="8">
                  <c:v>11 min delay</c:v>
                </c:pt>
                <c:pt idx="9">
                  <c:v>12 min delay</c:v>
                </c:pt>
                <c:pt idx="10">
                  <c:v>13 min delay</c:v>
                </c:pt>
                <c:pt idx="11">
                  <c:v>14 min delay</c:v>
                </c:pt>
                <c:pt idx="12">
                  <c:v>15 min delay</c:v>
                </c:pt>
                <c:pt idx="13">
                  <c:v>20 min delay</c:v>
                </c:pt>
                <c:pt idx="14">
                  <c:v>25 min delay</c:v>
                </c:pt>
              </c:strCache>
            </c:strRef>
          </c:cat>
          <c:val>
            <c:numRef>
              <c:f>(Summary!$J$84,Summary!$J$95,Summary!$J$106,Summary!$J$117,Summary!$J$128,Summary!$J$139,Summary!$J$150,Summary!$J$161,Summary!$J$172,Summary!$J$183,Summary!$J$194,Summary!$J$205,Summary!$J$216,Summary!$J$227,Summary!$J$238)</c:f>
              <c:numCache>
                <c:formatCode>0.00</c:formatCode>
                <c:ptCount val="15"/>
                <c:pt idx="0">
                  <c:v>2.7007575757575757</c:v>
                </c:pt>
                <c:pt idx="1">
                  <c:v>2.7172417681551644</c:v>
                </c:pt>
                <c:pt idx="2">
                  <c:v>2.5890600315955767</c:v>
                </c:pt>
                <c:pt idx="3">
                  <c:v>2.5585144927536234</c:v>
                </c:pt>
                <c:pt idx="4">
                  <c:v>2.8399087221095334</c:v>
                </c:pt>
                <c:pt idx="5">
                  <c:v>2.7960893854748603</c:v>
                </c:pt>
                <c:pt idx="6">
                  <c:v>2.8169508525576727</c:v>
                </c:pt>
                <c:pt idx="7">
                  <c:v>2.9583333333333335</c:v>
                </c:pt>
                <c:pt idx="8">
                  <c:v>2.7696658364466584</c:v>
                </c:pt>
                <c:pt idx="9">
                  <c:v>2.8078799120637541</c:v>
                </c:pt>
                <c:pt idx="10">
                  <c:v>2.8515457382484888</c:v>
                </c:pt>
                <c:pt idx="11">
                  <c:v>2.7937706642620981</c:v>
                </c:pt>
                <c:pt idx="12">
                  <c:v>2.7521186440677967</c:v>
                </c:pt>
                <c:pt idx="13">
                  <c:v>3.125</c:v>
                </c:pt>
                <c:pt idx="14">
                  <c:v>3.125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4AB-4979-84EE-30B7795F8478}"/>
            </c:ext>
          </c:extLst>
        </c:ser>
        <c:ser>
          <c:idx val="6"/>
          <c:order val="6"/>
          <c:tx>
            <c:v>Overtake Rijssen</c:v>
          </c:tx>
          <c:spPr>
            <a:ln w="22225" cap="rnd" cmpd="sng" algn="ctr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Summary!$O$241:$O$255</c:f>
              <c:strCache>
                <c:ptCount val="15"/>
                <c:pt idx="0">
                  <c:v>3 min delay</c:v>
                </c:pt>
                <c:pt idx="1">
                  <c:v>4 min delay</c:v>
                </c:pt>
                <c:pt idx="2">
                  <c:v>5 min delay</c:v>
                </c:pt>
                <c:pt idx="3">
                  <c:v>6 min delay</c:v>
                </c:pt>
                <c:pt idx="4">
                  <c:v>7 min delay</c:v>
                </c:pt>
                <c:pt idx="5">
                  <c:v>8 min delay</c:v>
                </c:pt>
                <c:pt idx="6">
                  <c:v>9 min delay</c:v>
                </c:pt>
                <c:pt idx="7">
                  <c:v>10 min delay</c:v>
                </c:pt>
                <c:pt idx="8">
                  <c:v>11 min delay</c:v>
                </c:pt>
                <c:pt idx="9">
                  <c:v>12 min delay</c:v>
                </c:pt>
                <c:pt idx="10">
                  <c:v>13 min delay</c:v>
                </c:pt>
                <c:pt idx="11">
                  <c:v>14 min delay</c:v>
                </c:pt>
                <c:pt idx="12">
                  <c:v>15 min delay</c:v>
                </c:pt>
                <c:pt idx="13">
                  <c:v>20 min delay</c:v>
                </c:pt>
                <c:pt idx="14">
                  <c:v>25 min delay</c:v>
                </c:pt>
              </c:strCache>
            </c:strRef>
          </c:cat>
          <c:val>
            <c:numRef>
              <c:f>(Summary!$J$85,Summary!$J$96,Summary!$J$107,Summary!$J$118,Summary!$J$129,Summary!$J$140,Summary!$J$151,Summary!$J$162,Summary!$J$173,Summary!$J$184,Summary!$J$195,Summary!$J$206,Summary!$J$217,Summary!$J$228,Summary!$J$239)</c:f>
              <c:numCache>
                <c:formatCode>0.00</c:formatCode>
                <c:ptCount val="15"/>
                <c:pt idx="0">
                  <c:v>3.333333333333333</c:v>
                </c:pt>
                <c:pt idx="1">
                  <c:v>3.583333333333333</c:v>
                </c:pt>
                <c:pt idx="2">
                  <c:v>3.333333333333333</c:v>
                </c:pt>
                <c:pt idx="3">
                  <c:v>3.3287280701754387</c:v>
                </c:pt>
                <c:pt idx="4">
                  <c:v>4.073886522728805</c:v>
                </c:pt>
                <c:pt idx="5">
                  <c:v>3.9896975187477981</c:v>
                </c:pt>
                <c:pt idx="6">
                  <c:v>4.0363688287083477</c:v>
                </c:pt>
                <c:pt idx="7">
                  <c:v>4</c:v>
                </c:pt>
                <c:pt idx="8">
                  <c:v>4.0778331257783318</c:v>
                </c:pt>
                <c:pt idx="9">
                  <c:v>4.2221764220939821</c:v>
                </c:pt>
                <c:pt idx="10">
                  <c:v>4.1291203432806709</c:v>
                </c:pt>
                <c:pt idx="11">
                  <c:v>4.0078148482116021</c:v>
                </c:pt>
                <c:pt idx="12">
                  <c:v>3.8971751412429376</c:v>
                </c:pt>
                <c:pt idx="13">
                  <c:v>3.5396172491136677</c:v>
                </c:pt>
                <c:pt idx="14">
                  <c:v>3.3333333333333335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4AB-4979-84EE-30B7795F8478}"/>
            </c:ext>
          </c:extLst>
        </c:ser>
        <c:ser>
          <c:idx val="7"/>
          <c:order val="7"/>
          <c:tx>
            <c:v>Alternative ICE path</c:v>
          </c:tx>
          <c:spPr>
            <a:ln w="22225" cap="rnd" cmpd="sng" algn="ctr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Summary!$O$241:$O$255</c:f>
              <c:strCache>
                <c:ptCount val="15"/>
                <c:pt idx="0">
                  <c:v>3 min delay</c:v>
                </c:pt>
                <c:pt idx="1">
                  <c:v>4 min delay</c:v>
                </c:pt>
                <c:pt idx="2">
                  <c:v>5 min delay</c:v>
                </c:pt>
                <c:pt idx="3">
                  <c:v>6 min delay</c:v>
                </c:pt>
                <c:pt idx="4">
                  <c:v>7 min delay</c:v>
                </c:pt>
                <c:pt idx="5">
                  <c:v>8 min delay</c:v>
                </c:pt>
                <c:pt idx="6">
                  <c:v>9 min delay</c:v>
                </c:pt>
                <c:pt idx="7">
                  <c:v>10 min delay</c:v>
                </c:pt>
                <c:pt idx="8">
                  <c:v>11 min delay</c:v>
                </c:pt>
                <c:pt idx="9">
                  <c:v>12 min delay</c:v>
                </c:pt>
                <c:pt idx="10">
                  <c:v>13 min delay</c:v>
                </c:pt>
                <c:pt idx="11">
                  <c:v>14 min delay</c:v>
                </c:pt>
                <c:pt idx="12">
                  <c:v>15 min delay</c:v>
                </c:pt>
                <c:pt idx="13">
                  <c:v>20 min delay</c:v>
                </c:pt>
                <c:pt idx="14">
                  <c:v>25 min delay</c:v>
                </c:pt>
              </c:strCache>
            </c:strRef>
          </c:cat>
          <c:val>
            <c:numRef>
              <c:f>(Summary!$J$86,Summary!$J$97,Summary!$J$108,Summary!$J$119,Summary!$J$130,Summary!$J$141,Summary!$J$152,Summary!$J$163,Summary!$J$174,Summary!$J$185,Summary!$J$196,Summary!$J$207,Summary!$J$218,Summary!$J$229,Summary!$J$240)</c:f>
              <c:numCache>
                <c:formatCode>0.00</c:formatCode>
                <c:ptCount val="15"/>
                <c:pt idx="0">
                  <c:v>3.9379001280409733</c:v>
                </c:pt>
                <c:pt idx="1">
                  <c:v>3.990527740189445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3.9747899159663866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4AB-4979-84EE-30B7795F8478}"/>
            </c:ext>
          </c:extLst>
        </c:ser>
        <c:ser>
          <c:idx val="8"/>
          <c:order val="8"/>
          <c:tx>
            <c:v>Stop Almelo</c:v>
          </c:tx>
          <c:spPr>
            <a:ln w="22225" cap="rnd" cmpd="sng" algn="ctr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 cap="flat" cmpd="sng" algn="ctr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Summary!$O$241:$O$255</c:f>
              <c:strCache>
                <c:ptCount val="15"/>
                <c:pt idx="0">
                  <c:v>3 min delay</c:v>
                </c:pt>
                <c:pt idx="1">
                  <c:v>4 min delay</c:v>
                </c:pt>
                <c:pt idx="2">
                  <c:v>5 min delay</c:v>
                </c:pt>
                <c:pt idx="3">
                  <c:v>6 min delay</c:v>
                </c:pt>
                <c:pt idx="4">
                  <c:v>7 min delay</c:v>
                </c:pt>
                <c:pt idx="5">
                  <c:v>8 min delay</c:v>
                </c:pt>
                <c:pt idx="6">
                  <c:v>9 min delay</c:v>
                </c:pt>
                <c:pt idx="7">
                  <c:v>10 min delay</c:v>
                </c:pt>
                <c:pt idx="8">
                  <c:v>11 min delay</c:v>
                </c:pt>
                <c:pt idx="9">
                  <c:v>12 min delay</c:v>
                </c:pt>
                <c:pt idx="10">
                  <c:v>13 min delay</c:v>
                </c:pt>
                <c:pt idx="11">
                  <c:v>14 min delay</c:v>
                </c:pt>
                <c:pt idx="12">
                  <c:v>15 min delay</c:v>
                </c:pt>
                <c:pt idx="13">
                  <c:v>20 min delay</c:v>
                </c:pt>
                <c:pt idx="14">
                  <c:v>25 min delay</c:v>
                </c:pt>
              </c:strCache>
            </c:strRef>
          </c:cat>
          <c:val>
            <c:numRef>
              <c:f>(Summary!$J$87,Summary!$J$98,Summary!$J$109,Summary!$J$120,Summary!$J$131,Summary!$J$142,Summary!$J$153,Summary!$J$164,Summary!$J$175,Summary!$J$186,Summary!$J$197,Summary!$J$208,Summary!$J$219,Summary!$J$230,Summary!$J$241)</c:f>
              <c:numCache>
                <c:formatCode>0.00</c:formatCode>
                <c:ptCount val="15"/>
                <c:pt idx="0">
                  <c:v>4.144440887750747</c:v>
                </c:pt>
                <c:pt idx="1">
                  <c:v>4.1828822733423543</c:v>
                </c:pt>
                <c:pt idx="2">
                  <c:v>3.7261848341232229</c:v>
                </c:pt>
                <c:pt idx="3">
                  <c:v>3.6872997711670479</c:v>
                </c:pt>
                <c:pt idx="4">
                  <c:v>4.2654277130500873</c:v>
                </c:pt>
                <c:pt idx="5">
                  <c:v>4.1539370375962559</c:v>
                </c:pt>
                <c:pt idx="6">
                  <c:v>4.1670051822133072</c:v>
                </c:pt>
                <c:pt idx="7">
                  <c:v>4.4210452427416467</c:v>
                </c:pt>
                <c:pt idx="8">
                  <c:v>4.4385967216146405</c:v>
                </c:pt>
                <c:pt idx="9">
                  <c:v>4.4199737506658385</c:v>
                </c:pt>
                <c:pt idx="10">
                  <c:v>4.4476845702104928</c:v>
                </c:pt>
                <c:pt idx="11">
                  <c:v>4.4230620999804842</c:v>
                </c:pt>
                <c:pt idx="12">
                  <c:v>4.3773335207647204</c:v>
                </c:pt>
                <c:pt idx="13">
                  <c:v>4.3591176470588238</c:v>
                </c:pt>
                <c:pt idx="14">
                  <c:v>4.9749999999999996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4AB-4979-84EE-30B7795F8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519700303"/>
        <c:axId val="1519706063"/>
      </c:lineChart>
      <c:catAx>
        <c:axId val="151970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19706063"/>
        <c:crosses val="autoZero"/>
        <c:auto val="1"/>
        <c:lblAlgn val="ctr"/>
        <c:lblOffset val="100"/>
        <c:noMultiLvlLbl val="0"/>
      </c:catAx>
      <c:valAx>
        <c:axId val="1519706063"/>
        <c:scaling>
          <c:orientation val="minMax"/>
          <c:max val="5"/>
          <c:min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1970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Score per minute ICE delay (ICE prio)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7.8710118481488761E-2"/>
          <c:y val="7.6636616867990337E-2"/>
          <c:w val="0.90490254638307932"/>
          <c:h val="0.76097512404957235"/>
        </c:manualLayout>
      </c:layout>
      <c:lineChart>
        <c:grouping val="standard"/>
        <c:varyColors val="0"/>
        <c:ser>
          <c:idx val="1"/>
          <c:order val="0"/>
          <c:tx>
            <c:v>Cancel stop Hgl-Odz-Zp</c:v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Summary!$O$241:$O$255</c:f>
              <c:strCache>
                <c:ptCount val="15"/>
                <c:pt idx="0">
                  <c:v>3 min delay</c:v>
                </c:pt>
                <c:pt idx="1">
                  <c:v>4 min delay</c:v>
                </c:pt>
                <c:pt idx="2">
                  <c:v>5 min delay</c:v>
                </c:pt>
                <c:pt idx="3">
                  <c:v>6 min delay</c:v>
                </c:pt>
                <c:pt idx="4">
                  <c:v>7 min delay</c:v>
                </c:pt>
                <c:pt idx="5">
                  <c:v>8 min delay</c:v>
                </c:pt>
                <c:pt idx="6">
                  <c:v>9 min delay</c:v>
                </c:pt>
                <c:pt idx="7">
                  <c:v>10 min delay</c:v>
                </c:pt>
                <c:pt idx="8">
                  <c:v>11 min delay</c:v>
                </c:pt>
                <c:pt idx="9">
                  <c:v>12 min delay</c:v>
                </c:pt>
                <c:pt idx="10">
                  <c:v>13 min delay</c:v>
                </c:pt>
                <c:pt idx="11">
                  <c:v>14 min delay</c:v>
                </c:pt>
                <c:pt idx="12">
                  <c:v>15 min delay</c:v>
                </c:pt>
                <c:pt idx="13">
                  <c:v>20 min delay</c:v>
                </c:pt>
                <c:pt idx="14">
                  <c:v>25 min delay</c:v>
                </c:pt>
              </c:strCache>
            </c:strRef>
          </c:cat>
          <c:val>
            <c:numRef>
              <c:f>(Summary!$K$79,Summary!$K$90,Summary!$K$101,Summary!$K$112,Summary!$K$123,Summary!$K$134,Summary!$K$145,Summary!$K$156,Summary!$K$167,Summary!$K$178,Summary!$K$189,Summary!$K$200,Summary!$K$211,Summary!$K$222,Summary!$K$233)</c:f>
              <c:numCache>
                <c:formatCode>0.00</c:formatCode>
                <c:ptCount val="15"/>
                <c:pt idx="0">
                  <c:v>4.2374966049741971</c:v>
                </c:pt>
                <c:pt idx="1">
                  <c:v>4.2997498667322755</c:v>
                </c:pt>
                <c:pt idx="2">
                  <c:v>4.1097228206232943</c:v>
                </c:pt>
                <c:pt idx="3">
                  <c:v>4.066555717356632</c:v>
                </c:pt>
                <c:pt idx="4">
                  <c:v>4.0019192488020225</c:v>
                </c:pt>
                <c:pt idx="5">
                  <c:v>3.9909681138731417</c:v>
                </c:pt>
                <c:pt idx="6">
                  <c:v>4.002604784049117</c:v>
                </c:pt>
                <c:pt idx="7">
                  <c:v>4.0816935132519179</c:v>
                </c:pt>
                <c:pt idx="8">
                  <c:v>4.1171316667766593</c:v>
                </c:pt>
                <c:pt idx="9">
                  <c:v>4.3024095445493966</c:v>
                </c:pt>
                <c:pt idx="10">
                  <c:v>4.1907239864444401</c:v>
                </c:pt>
                <c:pt idx="11">
                  <c:v>4.1464666968921255</c:v>
                </c:pt>
                <c:pt idx="12">
                  <c:v>4.106835403598196</c:v>
                </c:pt>
                <c:pt idx="13">
                  <c:v>3.8791443850267382</c:v>
                </c:pt>
                <c:pt idx="14">
                  <c:v>4.6064171122994653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14-4E36-909F-44473EB0B116}"/>
            </c:ext>
          </c:extLst>
        </c:ser>
        <c:ser>
          <c:idx val="0"/>
          <c:order val="1"/>
          <c:tx>
            <c:v>ICE waits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Summary!$O$241:$O$255</c:f>
              <c:strCache>
                <c:ptCount val="15"/>
                <c:pt idx="0">
                  <c:v>3 min delay</c:v>
                </c:pt>
                <c:pt idx="1">
                  <c:v>4 min delay</c:v>
                </c:pt>
                <c:pt idx="2">
                  <c:v>5 min delay</c:v>
                </c:pt>
                <c:pt idx="3">
                  <c:v>6 min delay</c:v>
                </c:pt>
                <c:pt idx="4">
                  <c:v>7 min delay</c:v>
                </c:pt>
                <c:pt idx="5">
                  <c:v>8 min delay</c:v>
                </c:pt>
                <c:pt idx="6">
                  <c:v>9 min delay</c:v>
                </c:pt>
                <c:pt idx="7">
                  <c:v>10 min delay</c:v>
                </c:pt>
                <c:pt idx="8">
                  <c:v>11 min delay</c:v>
                </c:pt>
                <c:pt idx="9">
                  <c:v>12 min delay</c:v>
                </c:pt>
                <c:pt idx="10">
                  <c:v>13 min delay</c:v>
                </c:pt>
                <c:pt idx="11">
                  <c:v>14 min delay</c:v>
                </c:pt>
                <c:pt idx="12">
                  <c:v>15 min delay</c:v>
                </c:pt>
                <c:pt idx="13">
                  <c:v>20 min delay</c:v>
                </c:pt>
                <c:pt idx="14">
                  <c:v>25 min delay</c:v>
                </c:pt>
              </c:strCache>
            </c:strRef>
          </c:cat>
          <c:val>
            <c:numRef>
              <c:f>(Summary!$K$80,Summary!$K$91,Summary!$K$102,Summary!$K$113,Summary!$K$124,Summary!$K$135,Summary!$K$146,Summary!$K$157,Summary!$K$168,Summary!$K$179,Summary!$K$190,Summary!$K$201,Summary!$K$212,Summary!$K$223,Summary!$K$234)</c:f>
              <c:numCache>
                <c:formatCode>0.00</c:formatCode>
                <c:ptCount val="15"/>
                <c:pt idx="0">
                  <c:v>3.8695663420375324</c:v>
                </c:pt>
                <c:pt idx="1">
                  <c:v>3.7216686485969301</c:v>
                </c:pt>
                <c:pt idx="2">
                  <c:v>3.6833846068567948</c:v>
                </c:pt>
                <c:pt idx="3">
                  <c:v>4.1026882093243646</c:v>
                </c:pt>
                <c:pt idx="4">
                  <c:v>4.1342891747499655</c:v>
                </c:pt>
                <c:pt idx="5">
                  <c:v>4.1092110902166761</c:v>
                </c:pt>
                <c:pt idx="6">
                  <c:v>4.1647335947235646</c:v>
                </c:pt>
                <c:pt idx="7">
                  <c:v>4.2922019590544815</c:v>
                </c:pt>
                <c:pt idx="8">
                  <c:v>4.3217683197321168</c:v>
                </c:pt>
                <c:pt idx="9">
                  <c:v>4.2219012463988888</c:v>
                </c:pt>
                <c:pt idx="10">
                  <c:v>4.236660236008543</c:v>
                </c:pt>
                <c:pt idx="11">
                  <c:v>4.1953960262542775</c:v>
                </c:pt>
                <c:pt idx="12">
                  <c:v>4.2780499995537351</c:v>
                </c:pt>
                <c:pt idx="13">
                  <c:v>3.9494949494949494</c:v>
                </c:pt>
                <c:pt idx="14">
                  <c:v>4.6767676767676765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14-4E36-909F-44473EB0B116}"/>
            </c:ext>
          </c:extLst>
        </c:ser>
        <c:ser>
          <c:idx val="2"/>
          <c:order val="2"/>
          <c:tx>
            <c:v>Stop waits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Summary!$O$241:$O$255</c:f>
              <c:strCache>
                <c:ptCount val="15"/>
                <c:pt idx="0">
                  <c:v>3 min delay</c:v>
                </c:pt>
                <c:pt idx="1">
                  <c:v>4 min delay</c:v>
                </c:pt>
                <c:pt idx="2">
                  <c:v>5 min delay</c:v>
                </c:pt>
                <c:pt idx="3">
                  <c:v>6 min delay</c:v>
                </c:pt>
                <c:pt idx="4">
                  <c:v>7 min delay</c:v>
                </c:pt>
                <c:pt idx="5">
                  <c:v>8 min delay</c:v>
                </c:pt>
                <c:pt idx="6">
                  <c:v>9 min delay</c:v>
                </c:pt>
                <c:pt idx="7">
                  <c:v>10 min delay</c:v>
                </c:pt>
                <c:pt idx="8">
                  <c:v>11 min delay</c:v>
                </c:pt>
                <c:pt idx="9">
                  <c:v>12 min delay</c:v>
                </c:pt>
                <c:pt idx="10">
                  <c:v>13 min delay</c:v>
                </c:pt>
                <c:pt idx="11">
                  <c:v>14 min delay</c:v>
                </c:pt>
                <c:pt idx="12">
                  <c:v>15 min delay</c:v>
                </c:pt>
                <c:pt idx="13">
                  <c:v>20 min delay</c:v>
                </c:pt>
                <c:pt idx="14">
                  <c:v>25 min delay</c:v>
                </c:pt>
              </c:strCache>
            </c:strRef>
          </c:cat>
          <c:val>
            <c:numRef>
              <c:f>(Summary!$K$81,Summary!$K$92,Summary!$K$103,Summary!$K$114,Summary!$K$125,Summary!$K$136,Summary!$K$147,Summary!$K$158,Summary!$K$169,Summary!$K$180,Summary!$K$191,Summary!$K$202,Summary!$K$213,Summary!$K$224,Summary!$K$235)</c:f>
              <c:numCache>
                <c:formatCode>0.00</c:formatCode>
                <c:ptCount val="15"/>
                <c:pt idx="0">
                  <c:v>4.4583478834439143</c:v>
                </c:pt>
                <c:pt idx="1">
                  <c:v>4.4386763439537456</c:v>
                </c:pt>
                <c:pt idx="2">
                  <c:v>4.0842649493185794</c:v>
                </c:pt>
                <c:pt idx="3">
                  <c:v>4.0632619097149991</c:v>
                </c:pt>
                <c:pt idx="4">
                  <c:v>4.0359225679980391</c:v>
                </c:pt>
                <c:pt idx="5">
                  <c:v>3.8452088452088451</c:v>
                </c:pt>
                <c:pt idx="6">
                  <c:v>3.8515151515151516</c:v>
                </c:pt>
                <c:pt idx="7">
                  <c:v>3.7745888532060818</c:v>
                </c:pt>
                <c:pt idx="8">
                  <c:v>3.7694959069366649</c:v>
                </c:pt>
                <c:pt idx="9">
                  <c:v>3.7694959069366649</c:v>
                </c:pt>
                <c:pt idx="10">
                  <c:v>3.7694959069366649</c:v>
                </c:pt>
                <c:pt idx="11">
                  <c:v>3.7694959069366649</c:v>
                </c:pt>
                <c:pt idx="12">
                  <c:v>3.8907080281487865</c:v>
                </c:pt>
                <c:pt idx="13">
                  <c:v>3.1818181818181817</c:v>
                </c:pt>
                <c:pt idx="14">
                  <c:v>3.9090909090909092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14-4E36-909F-44473EB0B116}"/>
            </c:ext>
          </c:extLst>
        </c:ser>
        <c:ser>
          <c:idx val="3"/>
          <c:order val="3"/>
          <c:tx>
            <c:v>Remove stop Hengelo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Summary!$O$241:$O$255</c:f>
              <c:strCache>
                <c:ptCount val="15"/>
                <c:pt idx="0">
                  <c:v>3 min delay</c:v>
                </c:pt>
                <c:pt idx="1">
                  <c:v>4 min delay</c:v>
                </c:pt>
                <c:pt idx="2">
                  <c:v>5 min delay</c:v>
                </c:pt>
                <c:pt idx="3">
                  <c:v>6 min delay</c:v>
                </c:pt>
                <c:pt idx="4">
                  <c:v>7 min delay</c:v>
                </c:pt>
                <c:pt idx="5">
                  <c:v>8 min delay</c:v>
                </c:pt>
                <c:pt idx="6">
                  <c:v>9 min delay</c:v>
                </c:pt>
                <c:pt idx="7">
                  <c:v>10 min delay</c:v>
                </c:pt>
                <c:pt idx="8">
                  <c:v>11 min delay</c:v>
                </c:pt>
                <c:pt idx="9">
                  <c:v>12 min delay</c:v>
                </c:pt>
                <c:pt idx="10">
                  <c:v>13 min delay</c:v>
                </c:pt>
                <c:pt idx="11">
                  <c:v>14 min delay</c:v>
                </c:pt>
                <c:pt idx="12">
                  <c:v>15 min delay</c:v>
                </c:pt>
                <c:pt idx="13">
                  <c:v>20 min delay</c:v>
                </c:pt>
                <c:pt idx="14">
                  <c:v>25 min delay</c:v>
                </c:pt>
              </c:strCache>
            </c:strRef>
          </c:cat>
          <c:val>
            <c:numRef>
              <c:f>(Summary!$K$82,Summary!$K$93,Summary!$K$104,Summary!$K$115,Summary!$K$126,Summary!$K$137,Summary!$K$149,Summary!$K$159,Summary!$K$170,Summary!$K$181,Summary!$K$192,Summary!$K$203,Summary!$K$214,Summary!$K$225,Summary!$K$236)</c:f>
              <c:numCache>
                <c:formatCode>0.00</c:formatCode>
                <c:ptCount val="15"/>
                <c:pt idx="0">
                  <c:v>4.8060606060606057</c:v>
                </c:pt>
                <c:pt idx="1">
                  <c:v>4.8060606060606057</c:v>
                </c:pt>
                <c:pt idx="2">
                  <c:v>4.4272009191440471</c:v>
                </c:pt>
                <c:pt idx="3">
                  <c:v>4.3678524374176542</c:v>
                </c:pt>
                <c:pt idx="4">
                  <c:v>4.488106214272543</c:v>
                </c:pt>
                <c:pt idx="5">
                  <c:v>4.3061452513966483</c:v>
                </c:pt>
                <c:pt idx="6">
                  <c:v>4.026312270143765</c:v>
                </c:pt>
                <c:pt idx="7">
                  <c:v>4.4540897444716787</c:v>
                </c:pt>
                <c:pt idx="8">
                  <c:v>4.4669109037289969</c:v>
                </c:pt>
                <c:pt idx="9">
                  <c:v>4.4535199894768231</c:v>
                </c:pt>
                <c:pt idx="10">
                  <c:v>4.4737603181642127</c:v>
                </c:pt>
                <c:pt idx="11">
                  <c:v>4.6326923438030754</c:v>
                </c:pt>
                <c:pt idx="12">
                  <c:v>4.4922488601980923</c:v>
                </c:pt>
                <c:pt idx="13">
                  <c:v>4.4642287428221872</c:v>
                </c:pt>
                <c:pt idx="14">
                  <c:v>4.9272727272727277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14-4E36-909F-44473EB0B116}"/>
            </c:ext>
          </c:extLst>
        </c:ser>
        <c:ser>
          <c:idx val="4"/>
          <c:order val="4"/>
          <c:tx>
            <c:v>Extra platform Hengelo</c:v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Summary!$O$241:$O$255</c:f>
              <c:strCache>
                <c:ptCount val="15"/>
                <c:pt idx="0">
                  <c:v>3 min delay</c:v>
                </c:pt>
                <c:pt idx="1">
                  <c:v>4 min delay</c:v>
                </c:pt>
                <c:pt idx="2">
                  <c:v>5 min delay</c:v>
                </c:pt>
                <c:pt idx="3">
                  <c:v>6 min delay</c:v>
                </c:pt>
                <c:pt idx="4">
                  <c:v>7 min delay</c:v>
                </c:pt>
                <c:pt idx="5">
                  <c:v>8 min delay</c:v>
                </c:pt>
                <c:pt idx="6">
                  <c:v>9 min delay</c:v>
                </c:pt>
                <c:pt idx="7">
                  <c:v>10 min delay</c:v>
                </c:pt>
                <c:pt idx="8">
                  <c:v>11 min delay</c:v>
                </c:pt>
                <c:pt idx="9">
                  <c:v>12 min delay</c:v>
                </c:pt>
                <c:pt idx="10">
                  <c:v>13 min delay</c:v>
                </c:pt>
                <c:pt idx="11">
                  <c:v>14 min delay</c:v>
                </c:pt>
                <c:pt idx="12">
                  <c:v>15 min delay</c:v>
                </c:pt>
                <c:pt idx="13">
                  <c:v>20 min delay</c:v>
                </c:pt>
                <c:pt idx="14">
                  <c:v>25 min delay</c:v>
                </c:pt>
              </c:strCache>
            </c:strRef>
          </c:cat>
          <c:val>
            <c:numRef>
              <c:f>(Summary!$K$83,Summary!$K$94,Summary!$K$105,Summary!$K$116,Summary!$K$127,Summary!$K$138,Summary!$K$149,Summary!$K$160,Summary!$K$171,Summary!$K$182,Summary!$K$193,Summary!$K$204,Summary!$K$215,Summary!$K$226,Summary!$K$237)</c:f>
              <c:numCache>
                <c:formatCode>0.00</c:formatCode>
                <c:ptCount val="15"/>
                <c:pt idx="0">
                  <c:v>4.2182516587126067</c:v>
                </c:pt>
                <c:pt idx="1">
                  <c:v>4.1967441669742076</c:v>
                </c:pt>
                <c:pt idx="2">
                  <c:v>3.8609794628751981</c:v>
                </c:pt>
                <c:pt idx="3">
                  <c:v>3.8208376672907565</c:v>
                </c:pt>
                <c:pt idx="4">
                  <c:v>3.7244559336717473</c:v>
                </c:pt>
                <c:pt idx="5">
                  <c:v>4.005726600140008</c:v>
                </c:pt>
                <c:pt idx="6">
                  <c:v>4.026312270143765</c:v>
                </c:pt>
                <c:pt idx="7">
                  <c:v>4.131604386692203</c:v>
                </c:pt>
                <c:pt idx="8">
                  <c:v>4.1510952125708407</c:v>
                </c:pt>
                <c:pt idx="9">
                  <c:v>4.145523287086057</c:v>
                </c:pt>
                <c:pt idx="10">
                  <c:v>3.9503565910156055</c:v>
                </c:pt>
                <c:pt idx="11">
                  <c:v>4.1694193979331953</c:v>
                </c:pt>
                <c:pt idx="12">
                  <c:v>4.3611754138704093</c:v>
                </c:pt>
                <c:pt idx="13">
                  <c:v>3.9090909090909092</c:v>
                </c:pt>
                <c:pt idx="14">
                  <c:v>4.6363636363636367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14-4E36-909F-44473EB0B116}"/>
            </c:ext>
          </c:extLst>
        </c:ser>
        <c:ser>
          <c:idx val="5"/>
          <c:order val="5"/>
          <c:tx>
            <c:v>Short-turn Hengelo</c:v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Summary!$O$241:$O$255</c:f>
              <c:strCache>
                <c:ptCount val="15"/>
                <c:pt idx="0">
                  <c:v>3 min delay</c:v>
                </c:pt>
                <c:pt idx="1">
                  <c:v>4 min delay</c:v>
                </c:pt>
                <c:pt idx="2">
                  <c:v>5 min delay</c:v>
                </c:pt>
                <c:pt idx="3">
                  <c:v>6 min delay</c:v>
                </c:pt>
                <c:pt idx="4">
                  <c:v>7 min delay</c:v>
                </c:pt>
                <c:pt idx="5">
                  <c:v>8 min delay</c:v>
                </c:pt>
                <c:pt idx="6">
                  <c:v>9 min delay</c:v>
                </c:pt>
                <c:pt idx="7">
                  <c:v>10 min delay</c:v>
                </c:pt>
                <c:pt idx="8">
                  <c:v>11 min delay</c:v>
                </c:pt>
                <c:pt idx="9">
                  <c:v>12 min delay</c:v>
                </c:pt>
                <c:pt idx="10">
                  <c:v>13 min delay</c:v>
                </c:pt>
                <c:pt idx="11">
                  <c:v>14 min delay</c:v>
                </c:pt>
                <c:pt idx="12">
                  <c:v>15 min delay</c:v>
                </c:pt>
                <c:pt idx="13">
                  <c:v>20 min delay</c:v>
                </c:pt>
                <c:pt idx="14">
                  <c:v>25 min delay</c:v>
                </c:pt>
              </c:strCache>
            </c:strRef>
          </c:cat>
          <c:val>
            <c:numRef>
              <c:f>(Summary!$K$84,Summary!$K$95,Summary!$K$106,Summary!$K$117,Summary!$K$128,Summary!$K$139,Summary!$K$150,Summary!$K$161,Summary!$K$172,Summary!$K$183,Summary!$K$194,Summary!$K$205,Summary!$K$216,Summary!$K$227,Summary!$K$238)</c:f>
              <c:numCache>
                <c:formatCode>0.00</c:formatCode>
                <c:ptCount val="15"/>
                <c:pt idx="0">
                  <c:v>2.1460055096418733</c:v>
                </c:pt>
                <c:pt idx="1">
                  <c:v>2.1579940132037558</c:v>
                </c:pt>
                <c:pt idx="2">
                  <c:v>2.0647709320695102</c:v>
                </c:pt>
                <c:pt idx="3">
                  <c:v>2.0425559947299075</c:v>
                </c:pt>
                <c:pt idx="4">
                  <c:v>2.2472063433523881</c:v>
                </c:pt>
                <c:pt idx="5">
                  <c:v>2.2153377348908077</c:v>
                </c:pt>
                <c:pt idx="6">
                  <c:v>2.230509710951035</c:v>
                </c:pt>
                <c:pt idx="7">
                  <c:v>2.3333333333333335</c:v>
                </c:pt>
                <c:pt idx="8">
                  <c:v>2.1961206083248426</c:v>
                </c:pt>
                <c:pt idx="9">
                  <c:v>2.2239126633190938</c:v>
                </c:pt>
                <c:pt idx="10">
                  <c:v>2.2556696278170829</c:v>
                </c:pt>
                <c:pt idx="11">
                  <c:v>2.2136513921906169</c:v>
                </c:pt>
                <c:pt idx="12">
                  <c:v>2.1833590138674883</c:v>
                </c:pt>
                <c:pt idx="13">
                  <c:v>2.4545454545454546</c:v>
                </c:pt>
                <c:pt idx="14">
                  <c:v>2.4545454545454546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14-4E36-909F-44473EB0B116}"/>
            </c:ext>
          </c:extLst>
        </c:ser>
        <c:ser>
          <c:idx val="6"/>
          <c:order val="6"/>
          <c:tx>
            <c:v>Overtake Rijssen</c:v>
          </c:tx>
          <c:spPr>
            <a:ln w="22225" cap="rnd" cmpd="sng" algn="ctr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Summary!$O$241:$O$255</c:f>
              <c:strCache>
                <c:ptCount val="15"/>
                <c:pt idx="0">
                  <c:v>3 min delay</c:v>
                </c:pt>
                <c:pt idx="1">
                  <c:v>4 min delay</c:v>
                </c:pt>
                <c:pt idx="2">
                  <c:v>5 min delay</c:v>
                </c:pt>
                <c:pt idx="3">
                  <c:v>6 min delay</c:v>
                </c:pt>
                <c:pt idx="4">
                  <c:v>7 min delay</c:v>
                </c:pt>
                <c:pt idx="5">
                  <c:v>8 min delay</c:v>
                </c:pt>
                <c:pt idx="6">
                  <c:v>9 min delay</c:v>
                </c:pt>
                <c:pt idx="7">
                  <c:v>10 min delay</c:v>
                </c:pt>
                <c:pt idx="8">
                  <c:v>11 min delay</c:v>
                </c:pt>
                <c:pt idx="9">
                  <c:v>12 min delay</c:v>
                </c:pt>
                <c:pt idx="10">
                  <c:v>13 min delay</c:v>
                </c:pt>
                <c:pt idx="11">
                  <c:v>14 min delay</c:v>
                </c:pt>
                <c:pt idx="12">
                  <c:v>15 min delay</c:v>
                </c:pt>
                <c:pt idx="13">
                  <c:v>20 min delay</c:v>
                </c:pt>
                <c:pt idx="14">
                  <c:v>25 min delay</c:v>
                </c:pt>
              </c:strCache>
            </c:strRef>
          </c:cat>
          <c:val>
            <c:numRef>
              <c:f>(Summary!$K$85,Summary!$K$96,Summary!$K$107,Summary!$K$118,Summary!$K$129,Summary!$K$140,Summary!$K$151,Summary!$K$162,Summary!$K$173,Summary!$K$184,Summary!$K$195,Summary!$K$206,Summary!$K$217,Summary!$K$228,Summary!$K$239)</c:f>
              <c:numCache>
                <c:formatCode>0.00</c:formatCode>
                <c:ptCount val="15"/>
                <c:pt idx="0">
                  <c:v>3.6666666666666661</c:v>
                </c:pt>
                <c:pt idx="1">
                  <c:v>3.8484848484848482</c:v>
                </c:pt>
                <c:pt idx="2">
                  <c:v>3.6666666666666661</c:v>
                </c:pt>
                <c:pt idx="3">
                  <c:v>3.6599681020733654</c:v>
                </c:pt>
                <c:pt idx="4">
                  <c:v>4.0484264966411239</c:v>
                </c:pt>
                <c:pt idx="5">
                  <c:v>3.9877570816118304</c:v>
                </c:pt>
                <c:pt idx="6">
                  <c:v>4.027460158252536</c:v>
                </c:pt>
                <c:pt idx="7">
                  <c:v>4.1515151515151514</c:v>
                </c:pt>
                <c:pt idx="8">
                  <c:v>4.2081210611721191</c:v>
                </c:pt>
                <c:pt idx="9">
                  <c:v>4.3130980039471387</c:v>
                </c:pt>
                <c:pt idx="10">
                  <c:v>4.2454208557192752</c:v>
                </c:pt>
                <c:pt idx="11">
                  <c:v>4.1571986774872256</c:v>
                </c:pt>
                <c:pt idx="12">
                  <c:v>4.076733436055469</c:v>
                </c:pt>
                <c:pt idx="13">
                  <c:v>3.4597641270530359</c:v>
                </c:pt>
                <c:pt idx="14">
                  <c:v>3.3030303030303028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14-4E36-909F-44473EB0B116}"/>
            </c:ext>
          </c:extLst>
        </c:ser>
        <c:ser>
          <c:idx val="7"/>
          <c:order val="7"/>
          <c:tx>
            <c:v>Alternative ICE path</c:v>
          </c:tx>
          <c:spPr>
            <a:ln w="22225" cap="rnd" cmpd="sng" algn="ctr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Summary!$O$241:$O$255</c:f>
              <c:strCache>
                <c:ptCount val="15"/>
                <c:pt idx="0">
                  <c:v>3 min delay</c:v>
                </c:pt>
                <c:pt idx="1">
                  <c:v>4 min delay</c:v>
                </c:pt>
                <c:pt idx="2">
                  <c:v>5 min delay</c:v>
                </c:pt>
                <c:pt idx="3">
                  <c:v>6 min delay</c:v>
                </c:pt>
                <c:pt idx="4">
                  <c:v>7 min delay</c:v>
                </c:pt>
                <c:pt idx="5">
                  <c:v>8 min delay</c:v>
                </c:pt>
                <c:pt idx="6">
                  <c:v>9 min delay</c:v>
                </c:pt>
                <c:pt idx="7">
                  <c:v>10 min delay</c:v>
                </c:pt>
                <c:pt idx="8">
                  <c:v>11 min delay</c:v>
                </c:pt>
                <c:pt idx="9">
                  <c:v>12 min delay</c:v>
                </c:pt>
                <c:pt idx="10">
                  <c:v>13 min delay</c:v>
                </c:pt>
                <c:pt idx="11">
                  <c:v>14 min delay</c:v>
                </c:pt>
                <c:pt idx="12">
                  <c:v>15 min delay</c:v>
                </c:pt>
                <c:pt idx="13">
                  <c:v>20 min delay</c:v>
                </c:pt>
                <c:pt idx="14">
                  <c:v>25 min delay</c:v>
                </c:pt>
              </c:strCache>
            </c:strRef>
          </c:cat>
          <c:val>
            <c:numRef>
              <c:f>(Summary!$K$86,Summary!$K$97,Summary!$K$108,Summary!$K$119,Summary!$K$130,Summary!$K$141,Summary!$K$152,Summary!$K$163,Summary!$K$174,Summary!$K$185,Summary!$K$196,Summary!$K$207,Summary!$K$218,Summary!$K$229,Summary!$K$240)</c:f>
              <c:numCache>
                <c:formatCode>0.00</c:formatCode>
                <c:ptCount val="15"/>
                <c:pt idx="0">
                  <c:v>3.5002910022116169</c:v>
                </c:pt>
                <c:pt idx="1">
                  <c:v>3.5385656292286871</c:v>
                </c:pt>
                <c:pt idx="2">
                  <c:v>3.5454545454545454</c:v>
                </c:pt>
                <c:pt idx="3">
                  <c:v>3.5454545454545454</c:v>
                </c:pt>
                <c:pt idx="4">
                  <c:v>3.5454545454545454</c:v>
                </c:pt>
                <c:pt idx="5">
                  <c:v>3.5454545454545454</c:v>
                </c:pt>
                <c:pt idx="6">
                  <c:v>3.5454545454545454</c:v>
                </c:pt>
                <c:pt idx="7">
                  <c:v>3.527119938884645</c:v>
                </c:pt>
                <c:pt idx="8">
                  <c:v>3.5454545454545454</c:v>
                </c:pt>
                <c:pt idx="9">
                  <c:v>3.5454545454545454</c:v>
                </c:pt>
                <c:pt idx="10">
                  <c:v>3.5454545454545454</c:v>
                </c:pt>
                <c:pt idx="11">
                  <c:v>3.5454545454545454</c:v>
                </c:pt>
                <c:pt idx="12">
                  <c:v>3.5454545454545454</c:v>
                </c:pt>
                <c:pt idx="13">
                  <c:v>3.5454545454545454</c:v>
                </c:pt>
                <c:pt idx="14">
                  <c:v>4.2727272727272725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14-4E36-909F-44473EB0B116}"/>
            </c:ext>
          </c:extLst>
        </c:ser>
        <c:ser>
          <c:idx val="8"/>
          <c:order val="8"/>
          <c:tx>
            <c:v>Stop Almelo</c:v>
          </c:tx>
          <c:spPr>
            <a:ln w="22225" cap="rnd" cmpd="sng" algn="ctr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 cap="flat" cmpd="sng" algn="ctr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Summary!$O$241:$O$255</c:f>
              <c:strCache>
                <c:ptCount val="15"/>
                <c:pt idx="0">
                  <c:v>3 min delay</c:v>
                </c:pt>
                <c:pt idx="1">
                  <c:v>4 min delay</c:v>
                </c:pt>
                <c:pt idx="2">
                  <c:v>5 min delay</c:v>
                </c:pt>
                <c:pt idx="3">
                  <c:v>6 min delay</c:v>
                </c:pt>
                <c:pt idx="4">
                  <c:v>7 min delay</c:v>
                </c:pt>
                <c:pt idx="5">
                  <c:v>8 min delay</c:v>
                </c:pt>
                <c:pt idx="6">
                  <c:v>9 min delay</c:v>
                </c:pt>
                <c:pt idx="7">
                  <c:v>10 min delay</c:v>
                </c:pt>
                <c:pt idx="8">
                  <c:v>11 min delay</c:v>
                </c:pt>
                <c:pt idx="9">
                  <c:v>12 min delay</c:v>
                </c:pt>
                <c:pt idx="10">
                  <c:v>13 min delay</c:v>
                </c:pt>
                <c:pt idx="11">
                  <c:v>14 min delay</c:v>
                </c:pt>
                <c:pt idx="12">
                  <c:v>15 min delay</c:v>
                </c:pt>
                <c:pt idx="13">
                  <c:v>20 min delay</c:v>
                </c:pt>
                <c:pt idx="14">
                  <c:v>25 min delay</c:v>
                </c:pt>
              </c:strCache>
            </c:strRef>
          </c:cat>
          <c:val>
            <c:numRef>
              <c:f>(Summary!$K$87,Summary!$K$98,Summary!$K$109,Summary!$K$120,Summary!$K$131,Summary!$K$142,Summary!$K$153,Summary!$K$164,Summary!$K$175,Summary!$K$186,Summary!$K$197,Summary!$K$208,Summary!$K$219,Summary!$K$230,Summary!$K$241)</c:f>
              <c:numCache>
                <c:formatCode>0.00</c:formatCode>
                <c:ptCount val="15"/>
                <c:pt idx="0">
                  <c:v>4.3595933729096341</c:v>
                </c:pt>
                <c:pt idx="1">
                  <c:v>4.3875507442489852</c:v>
                </c:pt>
                <c:pt idx="2">
                  <c:v>4.0554071520896162</c:v>
                </c:pt>
                <c:pt idx="3">
                  <c:v>4.0194716039109633</c:v>
                </c:pt>
                <c:pt idx="4">
                  <c:v>4.4122983220614209</c:v>
                </c:pt>
                <c:pt idx="5">
                  <c:v>4.3325930297997335</c:v>
                </c:pt>
                <c:pt idx="6">
                  <c:v>4.3426704355490715</c:v>
                </c:pt>
                <c:pt idx="7">
                  <c:v>4.4909626754622574</c:v>
                </c:pt>
                <c:pt idx="8">
                  <c:v>4.5037273873698895</c:v>
                </c:pt>
                <c:pt idx="9">
                  <c:v>4.4901834084980337</c:v>
                </c:pt>
                <c:pt idx="10">
                  <c:v>4.5103367318032364</c:v>
                </c:pt>
                <c:pt idx="11">
                  <c:v>4.4924294807268668</c:v>
                </c:pt>
                <c:pt idx="12">
                  <c:v>4.459172332206311</c:v>
                </c:pt>
                <c:pt idx="13">
                  <c:v>4.5157219251336898</c:v>
                </c:pt>
                <c:pt idx="14">
                  <c:v>4.9636363636363638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14-4E36-909F-44473EB0B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519700303"/>
        <c:axId val="1519706063"/>
      </c:lineChart>
      <c:catAx>
        <c:axId val="151970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19706063"/>
        <c:crosses val="autoZero"/>
        <c:auto val="1"/>
        <c:lblAlgn val="ctr"/>
        <c:lblOffset val="100"/>
        <c:noMultiLvlLbl val="0"/>
      </c:catAx>
      <c:valAx>
        <c:axId val="1519706063"/>
        <c:scaling>
          <c:orientation val="minMax"/>
          <c:max val="5"/>
          <c:min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1970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Score per minute ICE delay (domestic prio)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7.8710118481488761E-2"/>
          <c:y val="7.6636616867990337E-2"/>
          <c:w val="0.90490254638307932"/>
          <c:h val="0.76097512404957235"/>
        </c:manualLayout>
      </c:layout>
      <c:lineChart>
        <c:grouping val="standard"/>
        <c:varyColors val="0"/>
        <c:ser>
          <c:idx val="1"/>
          <c:order val="0"/>
          <c:tx>
            <c:v>Cancel stop Hgl-Odz-Zp</c:v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Summary!$O$241:$O$255</c:f>
              <c:strCache>
                <c:ptCount val="15"/>
                <c:pt idx="0">
                  <c:v>3 min delay</c:v>
                </c:pt>
                <c:pt idx="1">
                  <c:v>4 min delay</c:v>
                </c:pt>
                <c:pt idx="2">
                  <c:v>5 min delay</c:v>
                </c:pt>
                <c:pt idx="3">
                  <c:v>6 min delay</c:v>
                </c:pt>
                <c:pt idx="4">
                  <c:v>7 min delay</c:v>
                </c:pt>
                <c:pt idx="5">
                  <c:v>8 min delay</c:v>
                </c:pt>
                <c:pt idx="6">
                  <c:v>9 min delay</c:v>
                </c:pt>
                <c:pt idx="7">
                  <c:v>10 min delay</c:v>
                </c:pt>
                <c:pt idx="8">
                  <c:v>11 min delay</c:v>
                </c:pt>
                <c:pt idx="9">
                  <c:v>12 min delay</c:v>
                </c:pt>
                <c:pt idx="10">
                  <c:v>13 min delay</c:v>
                </c:pt>
                <c:pt idx="11">
                  <c:v>14 min delay</c:v>
                </c:pt>
                <c:pt idx="12">
                  <c:v>15 min delay</c:v>
                </c:pt>
                <c:pt idx="13">
                  <c:v>20 min delay</c:v>
                </c:pt>
                <c:pt idx="14">
                  <c:v>25 min delay</c:v>
                </c:pt>
              </c:strCache>
            </c:strRef>
          </c:cat>
          <c:val>
            <c:numRef>
              <c:f>(Summary!$L$79,Summary!$L$90,Summary!$L$101,Summary!$L$112,Summary!$L$123,Summary!$L$134,Summary!$L$145,Summary!$L$156,Summary!$L$167,Summary!$L$178,Summary!$L$189,Summary!$L$200,Summary!$L$211,Summary!$L$222,Summary!$L$233)</c:f>
              <c:numCache>
                <c:formatCode>0.00</c:formatCode>
                <c:ptCount val="15"/>
                <c:pt idx="0">
                  <c:v>3.6020771091193624</c:v>
                </c:pt>
                <c:pt idx="1">
                  <c:v>3.7162080890091715</c:v>
                </c:pt>
                <c:pt idx="2">
                  <c:v>3.367825171142707</c:v>
                </c:pt>
                <c:pt idx="3">
                  <c:v>3.2978960081362829</c:v>
                </c:pt>
                <c:pt idx="4">
                  <c:v>3.1957917584730704</c:v>
                </c:pt>
                <c:pt idx="5">
                  <c:v>3.2379460466052645</c:v>
                </c:pt>
                <c:pt idx="6">
                  <c:v>3.2506087707567146</c:v>
                </c:pt>
                <c:pt idx="7">
                  <c:v>3.5083812355906026</c:v>
                </c:pt>
                <c:pt idx="8">
                  <c:v>3.5733511837192942</c:v>
                </c:pt>
                <c:pt idx="9">
                  <c:v>3.9130272929693111</c:v>
                </c:pt>
                <c:pt idx="10">
                  <c:v>3.7082704364435592</c:v>
                </c:pt>
                <c:pt idx="11">
                  <c:v>3.6271320722643163</c:v>
                </c:pt>
                <c:pt idx="12">
                  <c:v>3.5544747012254443</c:v>
                </c:pt>
                <c:pt idx="13">
                  <c:v>3.9450980392156865</c:v>
                </c:pt>
                <c:pt idx="14">
                  <c:v>4.2784313725490195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14-4E36-909F-44473EB0B116}"/>
            </c:ext>
          </c:extLst>
        </c:ser>
        <c:ser>
          <c:idx val="0"/>
          <c:order val="1"/>
          <c:tx>
            <c:v>ICE waits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Summary!$O$241:$O$255</c:f>
              <c:strCache>
                <c:ptCount val="15"/>
                <c:pt idx="0">
                  <c:v>3 min delay</c:v>
                </c:pt>
                <c:pt idx="1">
                  <c:v>4 min delay</c:v>
                </c:pt>
                <c:pt idx="2">
                  <c:v>5 min delay</c:v>
                </c:pt>
                <c:pt idx="3">
                  <c:v>6 min delay</c:v>
                </c:pt>
                <c:pt idx="4">
                  <c:v>7 min delay</c:v>
                </c:pt>
                <c:pt idx="5">
                  <c:v>8 min delay</c:v>
                </c:pt>
                <c:pt idx="6">
                  <c:v>9 min delay</c:v>
                </c:pt>
                <c:pt idx="7">
                  <c:v>10 min delay</c:v>
                </c:pt>
                <c:pt idx="8">
                  <c:v>11 min delay</c:v>
                </c:pt>
                <c:pt idx="9">
                  <c:v>12 min delay</c:v>
                </c:pt>
                <c:pt idx="10">
                  <c:v>13 min delay</c:v>
                </c:pt>
                <c:pt idx="11">
                  <c:v>14 min delay</c:v>
                </c:pt>
                <c:pt idx="12">
                  <c:v>15 min delay</c:v>
                </c:pt>
                <c:pt idx="13">
                  <c:v>20 min delay</c:v>
                </c:pt>
                <c:pt idx="14">
                  <c:v>25 min delay</c:v>
                </c:pt>
              </c:strCache>
            </c:strRef>
          </c:cat>
          <c:val>
            <c:numRef>
              <c:f>(Summary!$L$80,Summary!$L$91,Summary!$L$102,Summary!$L$113,Summary!$L$124,Summary!$L$135,Summary!$L$146,Summary!$L$157,Summary!$L$168,Summary!$L$179,Summary!$L$190,Summary!$L$201,Summary!$L$212,Summary!$L$223,Summary!$L$234)</c:f>
              <c:numCache>
                <c:formatCode>0.00</c:formatCode>
                <c:ptCount val="15"/>
                <c:pt idx="0">
                  <c:v>3.3719827381799212</c:v>
                </c:pt>
                <c:pt idx="1">
                  <c:v>3.1008369668721496</c:v>
                </c:pt>
                <c:pt idx="2">
                  <c:v>3.0582811359626025</c:v>
                </c:pt>
                <c:pt idx="3">
                  <c:v>4.3506886176794648</c:v>
                </c:pt>
                <c:pt idx="4">
                  <c:v>4.3977391983324088</c:v>
                </c:pt>
                <c:pt idx="5">
                  <c:v>4.3505206323642076</c:v>
                </c:pt>
                <c:pt idx="6">
                  <c:v>4.4395115903265348</c:v>
                </c:pt>
                <c:pt idx="7">
                  <c:v>4.3387578306730807</c:v>
                </c:pt>
                <c:pt idx="8">
                  <c:v>4.3929628252487438</c:v>
                </c:pt>
                <c:pt idx="9">
                  <c:v>4.2098731908044913</c:v>
                </c:pt>
                <c:pt idx="10">
                  <c:v>4.2369313384221909</c:v>
                </c:pt>
                <c:pt idx="11">
                  <c:v>4.161280287206039</c:v>
                </c:pt>
                <c:pt idx="12">
                  <c:v>4.2962248938632586</c:v>
                </c:pt>
                <c:pt idx="13">
                  <c:v>4.5185185185185182</c:v>
                </c:pt>
                <c:pt idx="14">
                  <c:v>4.8518518518518521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14-4E36-909F-44473EB0B116}"/>
            </c:ext>
          </c:extLst>
        </c:ser>
        <c:ser>
          <c:idx val="2"/>
          <c:order val="2"/>
          <c:tx>
            <c:v>Stop waits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Summary!$O$241:$O$255</c:f>
              <c:strCache>
                <c:ptCount val="15"/>
                <c:pt idx="0">
                  <c:v>3 min delay</c:v>
                </c:pt>
                <c:pt idx="1">
                  <c:v>4 min delay</c:v>
                </c:pt>
                <c:pt idx="2">
                  <c:v>5 min delay</c:v>
                </c:pt>
                <c:pt idx="3">
                  <c:v>6 min delay</c:v>
                </c:pt>
                <c:pt idx="4">
                  <c:v>7 min delay</c:v>
                </c:pt>
                <c:pt idx="5">
                  <c:v>8 min delay</c:v>
                </c:pt>
                <c:pt idx="6">
                  <c:v>9 min delay</c:v>
                </c:pt>
                <c:pt idx="7">
                  <c:v>10 min delay</c:v>
                </c:pt>
                <c:pt idx="8">
                  <c:v>11 min delay</c:v>
                </c:pt>
                <c:pt idx="9">
                  <c:v>12 min delay</c:v>
                </c:pt>
                <c:pt idx="10">
                  <c:v>13 min delay</c:v>
                </c:pt>
                <c:pt idx="11">
                  <c:v>14 min delay</c:v>
                </c:pt>
                <c:pt idx="12">
                  <c:v>15 min delay</c:v>
                </c:pt>
                <c:pt idx="13">
                  <c:v>20 min delay</c:v>
                </c:pt>
                <c:pt idx="14">
                  <c:v>25 min delay</c:v>
                </c:pt>
              </c:strCache>
            </c:strRef>
          </c:cat>
          <c:val>
            <c:numRef>
              <c:f>(Summary!$L$81,Summary!$L$92,Summary!$L$103,Summary!$L$114,Summary!$L$125,Summary!$L$136,Summary!$L$147,Summary!$L$158,Summary!$L$169,Summary!$L$180,Summary!$L$191,Summary!$L$202,Summary!$L$213,Summary!$L$224,Summary!$L$235)</c:f>
              <c:numCache>
                <c:formatCode>0.00</c:formatCode>
                <c:ptCount val="15"/>
                <c:pt idx="0">
                  <c:v>4.0069711196471758</c:v>
                </c:pt>
                <c:pt idx="1">
                  <c:v>3.9709066305818674</c:v>
                </c:pt>
                <c:pt idx="2">
                  <c:v>3.3474681965577453</c:v>
                </c:pt>
                <c:pt idx="3">
                  <c:v>3.2918573607932875</c:v>
                </c:pt>
                <c:pt idx="4">
                  <c:v>3.2581311769991017</c:v>
                </c:pt>
                <c:pt idx="5">
                  <c:v>2.9707207207207205</c:v>
                </c:pt>
                <c:pt idx="6">
                  <c:v>2.9736111111111114</c:v>
                </c:pt>
                <c:pt idx="7">
                  <c:v>2.9453560255065692</c:v>
                </c:pt>
                <c:pt idx="8">
                  <c:v>2.9360189573459716</c:v>
                </c:pt>
                <c:pt idx="9">
                  <c:v>2.9360189573459716</c:v>
                </c:pt>
                <c:pt idx="10">
                  <c:v>2.9360189573459716</c:v>
                </c:pt>
                <c:pt idx="11">
                  <c:v>2.9360189573459716</c:v>
                </c:pt>
                <c:pt idx="12">
                  <c:v>3.1582411795681935</c:v>
                </c:pt>
                <c:pt idx="13">
                  <c:v>2.6666666666666665</c:v>
                </c:pt>
                <c:pt idx="1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14-4E36-909F-44473EB0B116}"/>
            </c:ext>
          </c:extLst>
        </c:ser>
        <c:ser>
          <c:idx val="3"/>
          <c:order val="3"/>
          <c:tx>
            <c:v>Remove stop Hengelo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Summary!$O$241:$O$255</c:f>
              <c:strCache>
                <c:ptCount val="15"/>
                <c:pt idx="0">
                  <c:v>3 min delay</c:v>
                </c:pt>
                <c:pt idx="1">
                  <c:v>4 min delay</c:v>
                </c:pt>
                <c:pt idx="2">
                  <c:v>5 min delay</c:v>
                </c:pt>
                <c:pt idx="3">
                  <c:v>6 min delay</c:v>
                </c:pt>
                <c:pt idx="4">
                  <c:v>7 min delay</c:v>
                </c:pt>
                <c:pt idx="5">
                  <c:v>8 min delay</c:v>
                </c:pt>
                <c:pt idx="6">
                  <c:v>9 min delay</c:v>
                </c:pt>
                <c:pt idx="7">
                  <c:v>10 min delay</c:v>
                </c:pt>
                <c:pt idx="8">
                  <c:v>11 min delay</c:v>
                </c:pt>
                <c:pt idx="9">
                  <c:v>12 min delay</c:v>
                </c:pt>
                <c:pt idx="10">
                  <c:v>13 min delay</c:v>
                </c:pt>
                <c:pt idx="11">
                  <c:v>14 min delay</c:v>
                </c:pt>
                <c:pt idx="12">
                  <c:v>15 min delay</c:v>
                </c:pt>
                <c:pt idx="13">
                  <c:v>20 min delay</c:v>
                </c:pt>
                <c:pt idx="14">
                  <c:v>25 min delay</c:v>
                </c:pt>
              </c:strCache>
            </c:strRef>
          </c:cat>
          <c:val>
            <c:numRef>
              <c:f>(Summary!$L$82,Summary!$L$93,Summary!$L$104,Summary!$L$115,Summary!$L$126,Summary!$L$137,Summary!$L$148,Summary!$L$159,Summary!$L$170,Summary!$L$181,Summary!$L$192,Summary!$L$203,Summary!$L$214,Summary!$L$225,Summary!$L$236)</c:f>
              <c:numCache>
                <c:formatCode>0.00</c:formatCode>
                <c:ptCount val="15"/>
                <c:pt idx="0">
                  <c:v>4.7444444444444445</c:v>
                </c:pt>
                <c:pt idx="1">
                  <c:v>4.7444444444444445</c:v>
                </c:pt>
                <c:pt idx="2">
                  <c:v>4.0498683517640863</c:v>
                </c:pt>
                <c:pt idx="3">
                  <c:v>3.9410628019323668</c:v>
                </c:pt>
                <c:pt idx="4">
                  <c:v>4.1615280594996618</c:v>
                </c:pt>
                <c:pt idx="5">
                  <c:v>3.8279329608938553</c:v>
                </c:pt>
                <c:pt idx="6">
                  <c:v>3.5850217318622537</c:v>
                </c:pt>
                <c:pt idx="7">
                  <c:v>4.2911076594934974</c:v>
                </c:pt>
                <c:pt idx="8">
                  <c:v>4.3146131181319136</c:v>
                </c:pt>
                <c:pt idx="9">
                  <c:v>4.2900631086695951</c:v>
                </c:pt>
                <c:pt idx="10">
                  <c:v>4.327170377929809</c:v>
                </c:pt>
                <c:pt idx="11">
                  <c:v>4.6185457582677225</c:v>
                </c:pt>
                <c:pt idx="12">
                  <c:v>4.361066038325256</c:v>
                </c:pt>
                <c:pt idx="13">
                  <c:v>4.1362028796758556</c:v>
                </c:pt>
                <c:pt idx="14">
                  <c:v>4.9666666666666668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14-4E36-909F-44473EB0B116}"/>
            </c:ext>
          </c:extLst>
        </c:ser>
        <c:ser>
          <c:idx val="4"/>
          <c:order val="4"/>
          <c:tx>
            <c:v>Extra platform Hengelo</c:v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Summary!$O$241:$O$255</c:f>
              <c:strCache>
                <c:ptCount val="15"/>
                <c:pt idx="0">
                  <c:v>3 min delay</c:v>
                </c:pt>
                <c:pt idx="1">
                  <c:v>4 min delay</c:v>
                </c:pt>
                <c:pt idx="2">
                  <c:v>5 min delay</c:v>
                </c:pt>
                <c:pt idx="3">
                  <c:v>6 min delay</c:v>
                </c:pt>
                <c:pt idx="4">
                  <c:v>7 min delay</c:v>
                </c:pt>
                <c:pt idx="5">
                  <c:v>8 min delay</c:v>
                </c:pt>
                <c:pt idx="6">
                  <c:v>9 min delay</c:v>
                </c:pt>
                <c:pt idx="7">
                  <c:v>10 min delay</c:v>
                </c:pt>
                <c:pt idx="8">
                  <c:v>11 min delay</c:v>
                </c:pt>
                <c:pt idx="9">
                  <c:v>12 min delay</c:v>
                </c:pt>
                <c:pt idx="10">
                  <c:v>13 min delay</c:v>
                </c:pt>
                <c:pt idx="11">
                  <c:v>14 min delay</c:v>
                </c:pt>
                <c:pt idx="12">
                  <c:v>15 min delay</c:v>
                </c:pt>
                <c:pt idx="13">
                  <c:v>20 min delay</c:v>
                </c:pt>
                <c:pt idx="14">
                  <c:v>25 min delay</c:v>
                </c:pt>
              </c:strCache>
            </c:strRef>
          </c:cat>
          <c:val>
            <c:numRef>
              <c:f>(Summary!$L$83,Summary!$L$94,Summary!$L$105,Summary!$L$116,Summary!$L$127,Summary!$L$138,Summary!$L$149,Summary!$L$160,Summary!$L$171,Summary!$L$182,Summary!$L$193,Summary!$L$204,Summary!$L$215,Summary!$L$226,Summary!$L$237)</c:f>
              <c:numCache>
                <c:formatCode>0.00</c:formatCode>
                <c:ptCount val="15"/>
                <c:pt idx="0">
                  <c:v>3.9001280409731116</c:v>
                </c:pt>
                <c:pt idx="1">
                  <c:v>3.8606976394527135</c:v>
                </c:pt>
                <c:pt idx="2">
                  <c:v>3.2451290152711949</c:v>
                </c:pt>
                <c:pt idx="3">
                  <c:v>3.1807462496821763</c:v>
                </c:pt>
                <c:pt idx="4">
                  <c:v>3.0891755010397133</c:v>
                </c:pt>
                <c:pt idx="5">
                  <c:v>3.6037420101665916</c:v>
                </c:pt>
                <c:pt idx="6">
                  <c:v>3.6274058285969013</c:v>
                </c:pt>
                <c:pt idx="7">
                  <c:v>3.9332178368977924</c:v>
                </c:pt>
                <c:pt idx="8">
                  <c:v>3.9689510176752916</c:v>
                </c:pt>
                <c:pt idx="9">
                  <c:v>3.9587358209531893</c:v>
                </c:pt>
                <c:pt idx="10">
                  <c:v>3.6009302114906956</c:v>
                </c:pt>
                <c:pt idx="11">
                  <c:v>4.0025453575062757</c:v>
                </c:pt>
                <c:pt idx="12">
                  <c:v>4.3540980533911693</c:v>
                </c:pt>
                <c:pt idx="13">
                  <c:v>4.333333333333333</c:v>
                </c:pt>
                <c:pt idx="14">
                  <c:v>4.666666666666667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14-4E36-909F-44473EB0B116}"/>
            </c:ext>
          </c:extLst>
        </c:ser>
        <c:ser>
          <c:idx val="5"/>
          <c:order val="5"/>
          <c:tx>
            <c:v>Short-turn Hengelo</c:v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Summary!$O$241:$O$255</c:f>
              <c:strCache>
                <c:ptCount val="15"/>
                <c:pt idx="0">
                  <c:v>3 min delay</c:v>
                </c:pt>
                <c:pt idx="1">
                  <c:v>4 min delay</c:v>
                </c:pt>
                <c:pt idx="2">
                  <c:v>5 min delay</c:v>
                </c:pt>
                <c:pt idx="3">
                  <c:v>6 min delay</c:v>
                </c:pt>
                <c:pt idx="4">
                  <c:v>7 min delay</c:v>
                </c:pt>
                <c:pt idx="5">
                  <c:v>8 min delay</c:v>
                </c:pt>
                <c:pt idx="6">
                  <c:v>9 min delay</c:v>
                </c:pt>
                <c:pt idx="7">
                  <c:v>10 min delay</c:v>
                </c:pt>
                <c:pt idx="8">
                  <c:v>11 min delay</c:v>
                </c:pt>
                <c:pt idx="9">
                  <c:v>12 min delay</c:v>
                </c:pt>
                <c:pt idx="10">
                  <c:v>13 min delay</c:v>
                </c:pt>
                <c:pt idx="11">
                  <c:v>14 min delay</c:v>
                </c:pt>
                <c:pt idx="12">
                  <c:v>15 min delay</c:v>
                </c:pt>
                <c:pt idx="13">
                  <c:v>20 min delay</c:v>
                </c:pt>
                <c:pt idx="14">
                  <c:v>25 min delay</c:v>
                </c:pt>
              </c:strCache>
            </c:strRef>
          </c:cat>
          <c:val>
            <c:numRef>
              <c:f>(Summary!$L$84,Summary!$L$95,Summary!$L$106,Summary!$L$117,Summary!$L$128,Summary!$L$139,Summary!$L$150,Summary!$L$161,Summary!$L$172,Summary!$L$183,Summary!$L$194,Summary!$L$205,Summary!$L$216,Summary!$L$227,Summary!$L$238)</c:f>
              <c:numCache>
                <c:formatCode>0.00</c:formatCode>
                <c:ptCount val="15"/>
                <c:pt idx="0">
                  <c:v>3.1843434343434343</c:v>
                </c:pt>
                <c:pt idx="1">
                  <c:v>3.2063223575402198</c:v>
                </c:pt>
                <c:pt idx="2">
                  <c:v>3.0354133754607688</c:v>
                </c:pt>
                <c:pt idx="3">
                  <c:v>2.994685990338164</c:v>
                </c:pt>
                <c:pt idx="4">
                  <c:v>3.3698782961460445</c:v>
                </c:pt>
                <c:pt idx="5">
                  <c:v>3.3114525139664805</c:v>
                </c:pt>
                <c:pt idx="6">
                  <c:v>3.3392678034102303</c:v>
                </c:pt>
                <c:pt idx="7">
                  <c:v>3.5277777777777781</c:v>
                </c:pt>
                <c:pt idx="8">
                  <c:v>3.2762211152622114</c:v>
                </c:pt>
                <c:pt idx="9">
                  <c:v>3.3271732160850056</c:v>
                </c:pt>
                <c:pt idx="10">
                  <c:v>3.3853943176646517</c:v>
                </c:pt>
                <c:pt idx="11">
                  <c:v>3.3083608856827973</c:v>
                </c:pt>
                <c:pt idx="12">
                  <c:v>3.2528248587570623</c:v>
                </c:pt>
                <c:pt idx="13">
                  <c:v>3.75</c:v>
                </c:pt>
                <c:pt idx="14">
                  <c:v>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14-4E36-909F-44473EB0B116}"/>
            </c:ext>
          </c:extLst>
        </c:ser>
        <c:ser>
          <c:idx val="6"/>
          <c:order val="6"/>
          <c:tx>
            <c:v>Overtake Rijssen</c:v>
          </c:tx>
          <c:spPr>
            <a:ln w="22225" cap="rnd" cmpd="sng" algn="ctr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Summary!$O$241:$O$255</c:f>
              <c:strCache>
                <c:ptCount val="15"/>
                <c:pt idx="0">
                  <c:v>3 min delay</c:v>
                </c:pt>
                <c:pt idx="1">
                  <c:v>4 min delay</c:v>
                </c:pt>
                <c:pt idx="2">
                  <c:v>5 min delay</c:v>
                </c:pt>
                <c:pt idx="3">
                  <c:v>6 min delay</c:v>
                </c:pt>
                <c:pt idx="4">
                  <c:v>7 min delay</c:v>
                </c:pt>
                <c:pt idx="5">
                  <c:v>8 min delay</c:v>
                </c:pt>
                <c:pt idx="6">
                  <c:v>9 min delay</c:v>
                </c:pt>
                <c:pt idx="7">
                  <c:v>10 min delay</c:v>
                </c:pt>
                <c:pt idx="8">
                  <c:v>11 min delay</c:v>
                </c:pt>
                <c:pt idx="9">
                  <c:v>12 min delay</c:v>
                </c:pt>
                <c:pt idx="10">
                  <c:v>13 min delay</c:v>
                </c:pt>
                <c:pt idx="11">
                  <c:v>14 min delay</c:v>
                </c:pt>
                <c:pt idx="12">
                  <c:v>15 min delay</c:v>
                </c:pt>
                <c:pt idx="13">
                  <c:v>20 min delay</c:v>
                </c:pt>
                <c:pt idx="14">
                  <c:v>25 min delay</c:v>
                </c:pt>
              </c:strCache>
            </c:strRef>
          </c:cat>
          <c:val>
            <c:numRef>
              <c:f>(Summary!$L$85,Summary!$L$96,Summary!$L$107,Summary!$L$118,Summary!$L$129,Summary!$L$140,Summary!$L$151,Summary!$L$162,Summary!$L$173,Summary!$L$184,Summary!$L$195,Summary!$L$206,Summary!$L$217,Summary!$L$228,Summary!$L$239)</c:f>
              <c:numCache>
                <c:formatCode>0.00</c:formatCode>
                <c:ptCount val="15"/>
                <c:pt idx="0">
                  <c:v>2.8888888888888893</c:v>
                </c:pt>
                <c:pt idx="1">
                  <c:v>3.2222222222222228</c:v>
                </c:pt>
                <c:pt idx="2">
                  <c:v>2.8888888888888893</c:v>
                </c:pt>
                <c:pt idx="3">
                  <c:v>2.8858187134502926</c:v>
                </c:pt>
                <c:pt idx="4">
                  <c:v>4.0200487568699135</c:v>
                </c:pt>
                <c:pt idx="5">
                  <c:v>3.9072843793514185</c:v>
                </c:pt>
                <c:pt idx="6">
                  <c:v>3.9642325123518702</c:v>
                </c:pt>
                <c:pt idx="7">
                  <c:v>3.7777777777777772</c:v>
                </c:pt>
                <c:pt idx="8">
                  <c:v>3.881555278815553</c:v>
                </c:pt>
                <c:pt idx="9">
                  <c:v>4.0740130072364202</c:v>
                </c:pt>
                <c:pt idx="10">
                  <c:v>3.9499382354853392</c:v>
                </c:pt>
                <c:pt idx="11">
                  <c:v>3.7881975753932475</c:v>
                </c:pt>
                <c:pt idx="12">
                  <c:v>3.6406779661016948</c:v>
                </c:pt>
                <c:pt idx="13">
                  <c:v>3.4911173817620536</c:v>
                </c:pt>
                <c:pt idx="14">
                  <c:v>3.2222222222222228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14-4E36-909F-44473EB0B116}"/>
            </c:ext>
          </c:extLst>
        </c:ser>
        <c:ser>
          <c:idx val="7"/>
          <c:order val="7"/>
          <c:tx>
            <c:v>Alternative ICE path</c:v>
          </c:tx>
          <c:spPr>
            <a:ln w="22225" cap="rnd" cmpd="sng" algn="ctr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Summary!$O$241:$O$255</c:f>
              <c:strCache>
                <c:ptCount val="15"/>
                <c:pt idx="0">
                  <c:v>3 min delay</c:v>
                </c:pt>
                <c:pt idx="1">
                  <c:v>4 min delay</c:v>
                </c:pt>
                <c:pt idx="2">
                  <c:v>5 min delay</c:v>
                </c:pt>
                <c:pt idx="3">
                  <c:v>6 min delay</c:v>
                </c:pt>
                <c:pt idx="4">
                  <c:v>7 min delay</c:v>
                </c:pt>
                <c:pt idx="5">
                  <c:v>8 min delay</c:v>
                </c:pt>
                <c:pt idx="6">
                  <c:v>9 min delay</c:v>
                </c:pt>
                <c:pt idx="7">
                  <c:v>10 min delay</c:v>
                </c:pt>
                <c:pt idx="8">
                  <c:v>11 min delay</c:v>
                </c:pt>
                <c:pt idx="9">
                  <c:v>12 min delay</c:v>
                </c:pt>
                <c:pt idx="10">
                  <c:v>13 min delay</c:v>
                </c:pt>
                <c:pt idx="11">
                  <c:v>14 min delay</c:v>
                </c:pt>
                <c:pt idx="12">
                  <c:v>15 min delay</c:v>
                </c:pt>
                <c:pt idx="13">
                  <c:v>20 min delay</c:v>
                </c:pt>
                <c:pt idx="14">
                  <c:v>25 min delay</c:v>
                </c:pt>
              </c:strCache>
            </c:strRef>
          </c:cat>
          <c:val>
            <c:numRef>
              <c:f>(Summary!$L$86,Summary!$L$97,Summary!$L$108,Summary!$L$119,Summary!$L$130,Summary!$L$141,Summary!$L$152,Summary!$L$163,Summary!$L$174,Summary!$L$185,Summary!$L$196,Summary!$L$207,Summary!$L$218,Summary!$L$229,Summary!$L$240)</c:f>
              <c:numCache>
                <c:formatCode>0.00</c:formatCode>
                <c:ptCount val="15"/>
                <c:pt idx="0">
                  <c:v>4.2505335040546308</c:v>
                </c:pt>
                <c:pt idx="1">
                  <c:v>4.3207036535859267</c:v>
                </c:pt>
                <c:pt idx="2">
                  <c:v>4.333333333333333</c:v>
                </c:pt>
                <c:pt idx="3">
                  <c:v>4.333333333333333</c:v>
                </c:pt>
                <c:pt idx="4">
                  <c:v>4.333333333333333</c:v>
                </c:pt>
                <c:pt idx="5">
                  <c:v>4.333333333333333</c:v>
                </c:pt>
                <c:pt idx="6">
                  <c:v>4.333333333333333</c:v>
                </c:pt>
                <c:pt idx="7">
                  <c:v>4.2997198879551819</c:v>
                </c:pt>
                <c:pt idx="8">
                  <c:v>4.333333333333333</c:v>
                </c:pt>
                <c:pt idx="9">
                  <c:v>4.333333333333333</c:v>
                </c:pt>
                <c:pt idx="10">
                  <c:v>4.333333333333333</c:v>
                </c:pt>
                <c:pt idx="11">
                  <c:v>4.333333333333333</c:v>
                </c:pt>
                <c:pt idx="12">
                  <c:v>4.333333333333333</c:v>
                </c:pt>
                <c:pt idx="13">
                  <c:v>4.333333333333333</c:v>
                </c:pt>
                <c:pt idx="14">
                  <c:v>4.666666666666667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14-4E36-909F-44473EB0B116}"/>
            </c:ext>
          </c:extLst>
        </c:ser>
        <c:ser>
          <c:idx val="8"/>
          <c:order val="8"/>
          <c:tx>
            <c:v>Stop Almelo</c:v>
          </c:tx>
          <c:spPr>
            <a:ln w="22225" cap="rnd" cmpd="sng" algn="ctr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 cap="flat" cmpd="sng" algn="ctr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Summary!$O$241:$O$255</c:f>
              <c:strCache>
                <c:ptCount val="15"/>
                <c:pt idx="0">
                  <c:v>3 min delay</c:v>
                </c:pt>
                <c:pt idx="1">
                  <c:v>4 min delay</c:v>
                </c:pt>
                <c:pt idx="2">
                  <c:v>5 min delay</c:v>
                </c:pt>
                <c:pt idx="3">
                  <c:v>6 min delay</c:v>
                </c:pt>
                <c:pt idx="4">
                  <c:v>7 min delay</c:v>
                </c:pt>
                <c:pt idx="5">
                  <c:v>8 min delay</c:v>
                </c:pt>
                <c:pt idx="6">
                  <c:v>9 min delay</c:v>
                </c:pt>
                <c:pt idx="7">
                  <c:v>10 min delay</c:v>
                </c:pt>
                <c:pt idx="8">
                  <c:v>11 min delay</c:v>
                </c:pt>
                <c:pt idx="9">
                  <c:v>12 min delay</c:v>
                </c:pt>
                <c:pt idx="10">
                  <c:v>13 min delay</c:v>
                </c:pt>
                <c:pt idx="11">
                  <c:v>14 min delay</c:v>
                </c:pt>
                <c:pt idx="12">
                  <c:v>15 min delay</c:v>
                </c:pt>
                <c:pt idx="13">
                  <c:v>20 min delay</c:v>
                </c:pt>
                <c:pt idx="14">
                  <c:v>25 min delay</c:v>
                </c:pt>
              </c:strCache>
            </c:strRef>
          </c:cat>
          <c:val>
            <c:numRef>
              <c:f>(Summary!$L$87,Summary!$L$98,Summary!$L$109,Summary!$L$120,Summary!$L$131,Summary!$L$142,Summary!$L$153,Summary!$L$164,Summary!$L$175,Summary!$L$186,Summary!$L$197,Summary!$L$208,Summary!$L$219,Summary!$L$230,Summary!$L$241)</c:f>
              <c:numCache>
                <c:formatCode>0.00</c:formatCode>
                <c:ptCount val="15"/>
                <c:pt idx="0">
                  <c:v>3.8759211836676624</c:v>
                </c:pt>
                <c:pt idx="1">
                  <c:v>3.9271763644564728</c:v>
                </c:pt>
                <c:pt idx="2">
                  <c:v>3.3182464454976301</c:v>
                </c:pt>
                <c:pt idx="3">
                  <c:v>3.2734172387490461</c:v>
                </c:pt>
                <c:pt idx="4">
                  <c:v>4.0695819642105375</c:v>
                </c:pt>
                <c:pt idx="5">
                  <c:v>3.9196637978760882</c:v>
                </c:pt>
                <c:pt idx="6">
                  <c:v>3.9365624651732976</c:v>
                </c:pt>
                <c:pt idx="7">
                  <c:v>4.3087080329762228</c:v>
                </c:pt>
                <c:pt idx="8">
                  <c:v>4.3321100048068812</c:v>
                </c:pt>
                <c:pt idx="9">
                  <c:v>4.3072793768751456</c:v>
                </c:pt>
                <c:pt idx="10">
                  <c:v>4.3442271362680183</c:v>
                </c:pt>
                <c:pt idx="11">
                  <c:v>4.3113971759613401</c:v>
                </c:pt>
                <c:pt idx="12">
                  <c:v>4.2504257370069878</c:v>
                </c:pt>
                <c:pt idx="13">
                  <c:v>4.162156862745098</c:v>
                </c:pt>
                <c:pt idx="14">
                  <c:v>4.9833333333333334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14-4E36-909F-44473EB0B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519700303"/>
        <c:axId val="1519706063"/>
      </c:lineChart>
      <c:catAx>
        <c:axId val="151970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19706063"/>
        <c:crosses val="autoZero"/>
        <c:auto val="1"/>
        <c:lblAlgn val="ctr"/>
        <c:lblOffset val="100"/>
        <c:noMultiLvlLbl val="0"/>
      </c:catAx>
      <c:valAx>
        <c:axId val="1519706063"/>
        <c:scaling>
          <c:orientation val="minMax"/>
          <c:max val="5"/>
          <c:min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1970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1392554</xdr:colOff>
      <xdr:row>244</xdr:row>
      <xdr:rowOff>79056</xdr:rowOff>
    </xdr:from>
    <xdr:to>
      <xdr:col>9</xdr:col>
      <xdr:colOff>76200</xdr:colOff>
      <xdr:row>280</xdr:row>
      <xdr:rowOff>19050</xdr:rowOff>
    </xdr:to>
    <xdr:graphicFrame macro="">
      <xdr:nvGraphicFramePr>
        <xdr:cNvPr id="17" name="Chart 8">
          <a:extLst>
            <a:ext uri="{FF2B5EF4-FFF2-40B4-BE49-F238E27FC236}">
              <a16:creationId xmlns:a16="http://schemas.microsoft.com/office/drawing/2014/main" id="{5298C3D4-9D54-D2A3-3DC1-ADB128252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1400175</xdr:colOff>
      <xdr:row>281</xdr:row>
      <xdr:rowOff>158115</xdr:rowOff>
    </xdr:from>
    <xdr:to>
      <xdr:col>9</xdr:col>
      <xdr:colOff>81916</xdr:colOff>
      <xdr:row>317</xdr:row>
      <xdr:rowOff>96204</xdr:rowOff>
    </xdr:to>
    <xdr:graphicFrame macro="">
      <xdr:nvGraphicFramePr>
        <xdr:cNvPr id="23" name="Chart 8">
          <a:extLst>
            <a:ext uri="{FF2B5EF4-FFF2-40B4-BE49-F238E27FC236}">
              <a16:creationId xmlns:a16="http://schemas.microsoft.com/office/drawing/2014/main" id="{038A63D9-1F91-437B-8E31-A9E31694C58D}"/>
            </a:ext>
            <a:ext uri="{147F2762-F138-4A5C-976F-8EAC2B608ADB}">
              <a16:predDERef xmlns:a16="http://schemas.microsoft.com/office/drawing/2014/main" pred="{5298C3D4-9D54-D2A3-3DC1-ADB128252A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1377315</xdr:colOff>
      <xdr:row>318</xdr:row>
      <xdr:rowOff>171450</xdr:rowOff>
    </xdr:from>
    <xdr:to>
      <xdr:col>9</xdr:col>
      <xdr:colOff>66676</xdr:colOff>
      <xdr:row>354</xdr:row>
      <xdr:rowOff>103824</xdr:rowOff>
    </xdr:to>
    <xdr:graphicFrame macro="">
      <xdr:nvGraphicFramePr>
        <xdr:cNvPr id="24" name="Chart 8">
          <a:extLst>
            <a:ext uri="{FF2B5EF4-FFF2-40B4-BE49-F238E27FC236}">
              <a16:creationId xmlns:a16="http://schemas.microsoft.com/office/drawing/2014/main" id="{4A4EE190-1684-4BAF-9682-9E44D5BE85E7}"/>
            </a:ext>
            <a:ext uri="{147F2762-F138-4A5C-976F-8EAC2B608ADB}">
              <a16:predDERef xmlns:a16="http://schemas.microsoft.com/office/drawing/2014/main" pred="{038A63D9-1F91-437B-8E31-A9E31694C5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"/>
  <sheetViews>
    <sheetView workbookViewId="0">
      <selection activeCell="A9" sqref="A9"/>
    </sheetView>
  </sheetViews>
  <sheetFormatPr defaultRowHeight="15" customHeight="1" x14ac:dyDescent="0.3"/>
  <cols>
    <col min="1" max="17" width="10.6640625" customWidth="1"/>
    <col min="18" max="18" width="12.6640625" customWidth="1"/>
    <col min="20" max="20" width="13.109375" customWidth="1"/>
  </cols>
  <sheetData>
    <row r="1" spans="1:25" x14ac:dyDescent="0.3">
      <c r="A1" s="17" t="s">
        <v>0</v>
      </c>
      <c r="B1" s="18"/>
      <c r="C1" s="19">
        <v>2.0833333333333333E-3</v>
      </c>
      <c r="D1" s="19">
        <v>2.7777777777777779E-3</v>
      </c>
      <c r="E1" s="19">
        <v>3.472222222222222E-3</v>
      </c>
      <c r="F1" s="19">
        <v>4.1666666666666666E-3</v>
      </c>
      <c r="G1" s="19">
        <v>4.8611111111111103E-3</v>
      </c>
      <c r="H1" s="19">
        <v>5.5555555555555497E-3</v>
      </c>
      <c r="I1" s="19">
        <v>6.2500000000000003E-3</v>
      </c>
      <c r="J1" s="19">
        <v>6.9444444444444397E-3</v>
      </c>
      <c r="K1" s="19">
        <v>7.6388888888888904E-3</v>
      </c>
      <c r="L1" s="19">
        <v>8.3333333333333297E-3</v>
      </c>
      <c r="M1" s="19">
        <v>9.0277777777777804E-3</v>
      </c>
      <c r="N1" s="19">
        <v>9.7222222222222206E-3</v>
      </c>
      <c r="O1" s="19">
        <v>1.0416666666666701E-2</v>
      </c>
      <c r="P1" s="19">
        <v>1.3888888888888888E-2</v>
      </c>
      <c r="Q1" s="19">
        <v>1.7361111111111112E-2</v>
      </c>
      <c r="R1" t="s">
        <v>1</v>
      </c>
      <c r="U1" t="s">
        <v>1</v>
      </c>
    </row>
    <row r="2" spans="1:25" x14ac:dyDescent="0.3">
      <c r="A2" s="20" t="s">
        <v>2</v>
      </c>
      <c r="B2" s="21" t="s">
        <v>3</v>
      </c>
      <c r="C2" s="24">
        <v>0</v>
      </c>
      <c r="D2" s="24">
        <v>0</v>
      </c>
      <c r="E2" s="22">
        <v>0</v>
      </c>
      <c r="F2" s="22">
        <v>1.6203703703703703E-4</v>
      </c>
      <c r="G2" s="22">
        <v>8.564814814814815E-4</v>
      </c>
      <c r="H2" s="22">
        <v>1.9675925925925924E-3</v>
      </c>
      <c r="I2" s="22">
        <v>2.2453703703703702E-3</v>
      </c>
      <c r="J2" s="22">
        <v>9.6990740740740735E-3</v>
      </c>
      <c r="K2" s="22">
        <v>9.6990740740740735E-3</v>
      </c>
      <c r="L2" s="22">
        <v>9.6990740740740735E-3</v>
      </c>
      <c r="M2" s="22">
        <v>9.6990740740740735E-3</v>
      </c>
      <c r="N2" s="22">
        <v>9.6990740740740735E-3</v>
      </c>
      <c r="O2" s="22">
        <v>9.6990740740740735E-3</v>
      </c>
      <c r="P2" s="22">
        <v>1.7592592592592594E-2</v>
      </c>
      <c r="Q2" s="22">
        <v>1.7592592592592594E-2</v>
      </c>
      <c r="R2" t="s">
        <v>4</v>
      </c>
      <c r="U2" t="s">
        <v>5</v>
      </c>
    </row>
    <row r="3" spans="1:25" x14ac:dyDescent="0.3">
      <c r="A3" s="2">
        <v>1700</v>
      </c>
      <c r="B3" s="7" t="s">
        <v>6</v>
      </c>
      <c r="C3" s="25">
        <v>1.8518518518518519E-3</v>
      </c>
      <c r="D3" s="25">
        <v>1.8518518518518519E-3</v>
      </c>
      <c r="E3" s="3">
        <v>2.2685185185185187E-3</v>
      </c>
      <c r="F3" s="3">
        <v>2.9629629629629628E-3</v>
      </c>
      <c r="G3" s="3">
        <v>1.136574074074074E-2</v>
      </c>
      <c r="H3" s="3">
        <v>1.136574074074074E-2</v>
      </c>
      <c r="I3" s="3">
        <v>1.136574074074074E-2</v>
      </c>
      <c r="J3" s="3">
        <v>3.6805555555555554E-3</v>
      </c>
      <c r="K3" s="3">
        <v>3.6805555555555554E-3</v>
      </c>
      <c r="L3" s="3">
        <v>6.1111111111111114E-3</v>
      </c>
      <c r="M3" s="3">
        <v>6.1111111111111114E-3</v>
      </c>
      <c r="N3" s="3">
        <v>6.1111111111111114E-3</v>
      </c>
      <c r="O3" s="3">
        <v>6.1111111111111114E-3</v>
      </c>
      <c r="P3" s="3">
        <v>1.5509259259259259E-3</v>
      </c>
      <c r="Q3" s="3">
        <v>1.5509259259259259E-3</v>
      </c>
      <c r="R3" t="s">
        <v>7</v>
      </c>
      <c r="U3" t="s">
        <v>8</v>
      </c>
    </row>
    <row r="4" spans="1:25" x14ac:dyDescent="0.3">
      <c r="A4" s="2">
        <v>7000</v>
      </c>
      <c r="B4" s="7" t="s">
        <v>9</v>
      </c>
      <c r="C4" s="25">
        <v>1.6666666666666668E-3</v>
      </c>
      <c r="D4" s="25">
        <v>1.6666666666666668E-3</v>
      </c>
      <c r="E4" s="3">
        <v>2.0833333333333333E-3</v>
      </c>
      <c r="F4" s="3">
        <v>2.7777777777777779E-3</v>
      </c>
      <c r="G4" s="3">
        <v>3.472222222222222E-3</v>
      </c>
      <c r="H4" s="3">
        <v>4.1666666666666666E-3</v>
      </c>
      <c r="I4" s="3">
        <v>4.8611111111111112E-3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1.3657407407407407E-3</v>
      </c>
      <c r="Q4" s="3">
        <v>1.3657407407407407E-3</v>
      </c>
      <c r="R4" t="s">
        <v>10</v>
      </c>
    </row>
    <row r="5" spans="1:25" x14ac:dyDescent="0.3">
      <c r="A5" s="2">
        <v>31200</v>
      </c>
      <c r="B5" s="7" t="s">
        <v>11</v>
      </c>
      <c r="C5" s="25">
        <v>1.6203703703703703E-3</v>
      </c>
      <c r="D5" s="25">
        <v>1.6203703703703703E-3</v>
      </c>
      <c r="E5" s="25">
        <v>1.6203703703703703E-3</v>
      </c>
      <c r="F5" s="25">
        <v>1.6203703703703703E-3</v>
      </c>
      <c r="G5" s="25">
        <v>1.6203703703703703E-3</v>
      </c>
      <c r="H5" s="25">
        <v>1.6203703703703703E-3</v>
      </c>
      <c r="I5" s="25">
        <v>1.6203703703703703E-3</v>
      </c>
      <c r="J5" s="25">
        <v>1.6203703703703703E-3</v>
      </c>
      <c r="K5" s="3">
        <v>1.6203703703703703E-3</v>
      </c>
      <c r="L5" s="3">
        <v>1.6203703703703703E-3</v>
      </c>
      <c r="M5" s="3">
        <v>1.6203703703703703E-3</v>
      </c>
      <c r="N5" s="3">
        <v>1.6203703703703703E-3</v>
      </c>
      <c r="O5" s="3">
        <v>1.6203703703703703E-3</v>
      </c>
      <c r="P5" s="3">
        <v>1.6203703703703703E-3</v>
      </c>
      <c r="Q5" s="3">
        <v>1.6203703703703703E-3</v>
      </c>
      <c r="R5" t="s">
        <v>12</v>
      </c>
    </row>
    <row r="6" spans="1:25" x14ac:dyDescent="0.3">
      <c r="A6" s="2">
        <v>7900</v>
      </c>
      <c r="B6" s="7" t="s">
        <v>13</v>
      </c>
      <c r="C6" s="25">
        <v>0</v>
      </c>
      <c r="D6" s="25">
        <v>0</v>
      </c>
      <c r="E6" s="3">
        <v>3.4722222222222224E-4</v>
      </c>
      <c r="F6" s="3">
        <v>1.0416666666666667E-3</v>
      </c>
      <c r="G6" s="3">
        <v>1.736111111111111E-3</v>
      </c>
      <c r="H6" s="3">
        <v>2.4305555555555556E-3</v>
      </c>
      <c r="I6" s="3">
        <v>3.1250000000000002E-3</v>
      </c>
      <c r="J6" s="3">
        <v>4.6296296296296294E-3</v>
      </c>
      <c r="K6" s="3">
        <v>4.6296296296296294E-3</v>
      </c>
      <c r="L6" s="3">
        <v>8.3333333333333339E-4</v>
      </c>
      <c r="M6" s="3">
        <v>2.1064814814814813E-3</v>
      </c>
      <c r="N6" s="3">
        <v>2.8009259259259259E-3</v>
      </c>
      <c r="O6" s="3">
        <v>3.4953703703703705E-3</v>
      </c>
      <c r="P6" s="3">
        <v>0</v>
      </c>
      <c r="Q6" s="3">
        <v>0</v>
      </c>
      <c r="R6" t="s">
        <v>14</v>
      </c>
    </row>
    <row r="7" spans="1:25" x14ac:dyDescent="0.3">
      <c r="A7" s="2">
        <v>31300</v>
      </c>
      <c r="B7" s="7" t="s">
        <v>3</v>
      </c>
      <c r="C7" s="25">
        <v>0</v>
      </c>
      <c r="D7" s="25">
        <v>0</v>
      </c>
      <c r="E7" s="3">
        <v>0</v>
      </c>
      <c r="F7" s="3">
        <v>0</v>
      </c>
      <c r="G7" s="3">
        <v>0</v>
      </c>
      <c r="H7" s="3">
        <v>9.2592592592592596E-4</v>
      </c>
      <c r="I7" s="3">
        <v>1.2037037037037038E-3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t="s">
        <v>15</v>
      </c>
    </row>
    <row r="8" spans="1:25" x14ac:dyDescent="0.3">
      <c r="A8" s="2">
        <v>3600</v>
      </c>
      <c r="B8" s="7" t="s">
        <v>16</v>
      </c>
      <c r="C8" s="25">
        <v>4.2592592592592595E-3</v>
      </c>
      <c r="D8" s="25">
        <v>4.2592592592592595E-3</v>
      </c>
      <c r="E8" s="3">
        <v>4.6759259259259263E-3</v>
      </c>
      <c r="F8" s="3">
        <v>5.37037037037037E-3</v>
      </c>
      <c r="G8" s="3">
        <v>6.0648148148148145E-3</v>
      </c>
      <c r="H8" s="3">
        <v>9.4907407407407408E-4</v>
      </c>
      <c r="I8" s="3">
        <v>9.4907407407407408E-4</v>
      </c>
      <c r="J8" s="3">
        <v>9.4907407407407408E-4</v>
      </c>
      <c r="K8" s="3">
        <v>9.4907407407407408E-4</v>
      </c>
      <c r="L8" s="3">
        <v>9.4907407407407408E-4</v>
      </c>
      <c r="M8" s="3">
        <v>9.4907407407407408E-4</v>
      </c>
      <c r="N8" s="3">
        <v>9.4907407407407408E-4</v>
      </c>
      <c r="O8" s="3">
        <v>9.4907407407407408E-4</v>
      </c>
      <c r="P8" s="3">
        <v>9.4907407407407408E-4</v>
      </c>
      <c r="Q8" s="3">
        <v>9.4907407407407408E-4</v>
      </c>
      <c r="R8" t="s">
        <v>17</v>
      </c>
    </row>
    <row r="9" spans="1:25" x14ac:dyDescent="0.3">
      <c r="A9" s="2">
        <v>20350</v>
      </c>
      <c r="B9" s="7" t="s">
        <v>18</v>
      </c>
      <c r="C9" s="25">
        <v>0</v>
      </c>
      <c r="D9" s="25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22">
        <v>6.9444444444444447E-4</v>
      </c>
      <c r="P9" s="22">
        <v>0</v>
      </c>
      <c r="Q9" s="22">
        <v>0</v>
      </c>
      <c r="R9" t="s">
        <v>19</v>
      </c>
      <c r="S9" t="s">
        <v>20</v>
      </c>
    </row>
    <row r="10" spans="1:25" x14ac:dyDescent="0.3">
      <c r="A10" s="4">
        <v>31200</v>
      </c>
      <c r="B10" s="8" t="s">
        <v>18</v>
      </c>
      <c r="C10" s="5" t="s">
        <v>21</v>
      </c>
      <c r="D10" s="5" t="s">
        <v>21</v>
      </c>
      <c r="E10" s="5" t="s">
        <v>21</v>
      </c>
      <c r="F10" s="5" t="s">
        <v>21</v>
      </c>
      <c r="G10" s="5" t="s">
        <v>21</v>
      </c>
      <c r="H10" s="5" t="s">
        <v>21</v>
      </c>
      <c r="I10" s="5" t="s">
        <v>21</v>
      </c>
      <c r="J10" s="5" t="s">
        <v>21</v>
      </c>
      <c r="K10" s="5" t="s">
        <v>21</v>
      </c>
      <c r="L10" s="5" t="s">
        <v>21</v>
      </c>
      <c r="M10" s="5" t="s">
        <v>21</v>
      </c>
      <c r="N10" s="5" t="s">
        <v>21</v>
      </c>
      <c r="O10" s="5" t="s">
        <v>21</v>
      </c>
      <c r="P10" s="5" t="s">
        <v>21</v>
      </c>
      <c r="Q10" s="5" t="s">
        <v>21</v>
      </c>
      <c r="R10" t="s">
        <v>22</v>
      </c>
      <c r="U10" t="s">
        <v>23</v>
      </c>
    </row>
    <row r="11" spans="1:25" x14ac:dyDescent="0.3">
      <c r="A11" s="2">
        <v>31200</v>
      </c>
      <c r="B11" s="2" t="s">
        <v>24</v>
      </c>
      <c r="C11" s="26">
        <v>6.2500000000000001E-4</v>
      </c>
      <c r="D11" s="26">
        <v>6.2500000000000001E-4</v>
      </c>
      <c r="E11" s="26">
        <v>6.2500000000000001E-4</v>
      </c>
      <c r="F11" s="26">
        <v>6.2500000000000001E-4</v>
      </c>
      <c r="G11" s="26">
        <v>6.2500000000000001E-4</v>
      </c>
      <c r="H11" s="26">
        <v>6.2500000000000001E-4</v>
      </c>
      <c r="I11" s="26">
        <v>6.2500000000000001E-4</v>
      </c>
      <c r="J11" s="26">
        <v>6.2500000000000001E-4</v>
      </c>
      <c r="K11" s="26">
        <v>6.2500000000000001E-4</v>
      </c>
      <c r="L11" s="26">
        <v>6.2500000000000001E-4</v>
      </c>
      <c r="M11" s="26">
        <v>6.2500000000000001E-4</v>
      </c>
      <c r="N11" s="26">
        <v>6.2500000000000001E-4</v>
      </c>
      <c r="O11" s="26">
        <v>6.2500000000000001E-4</v>
      </c>
      <c r="P11" s="26">
        <v>6.2500000000000001E-4</v>
      </c>
      <c r="Q11" s="26">
        <v>6.2500000000000001E-4</v>
      </c>
    </row>
    <row r="12" spans="1:25" x14ac:dyDescent="0.3">
      <c r="A12" s="2">
        <v>7900</v>
      </c>
      <c r="B12" s="7" t="s">
        <v>16</v>
      </c>
      <c r="C12" s="25">
        <v>0</v>
      </c>
      <c r="D12" s="25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8.1018518518518516E-4</v>
      </c>
      <c r="K12" s="3">
        <v>8.1018518518518516E-4</v>
      </c>
      <c r="L12" s="3">
        <v>0</v>
      </c>
      <c r="M12" s="3">
        <v>0</v>
      </c>
      <c r="N12" s="3">
        <v>0</v>
      </c>
      <c r="O12" s="3">
        <v>0</v>
      </c>
      <c r="P12" s="22">
        <v>0</v>
      </c>
      <c r="Q12" s="22">
        <v>0</v>
      </c>
    </row>
    <row r="13" spans="1:25" x14ac:dyDescent="0.3">
      <c r="A13" s="9" t="s">
        <v>25</v>
      </c>
      <c r="B13" s="9"/>
      <c r="C13" s="10">
        <f t="shared" ref="C13:Q13" si="0">SUM(C3:C8)</f>
        <v>9.3981481481481485E-3</v>
      </c>
      <c r="D13" s="10">
        <f t="shared" si="0"/>
        <v>9.3981481481481485E-3</v>
      </c>
      <c r="E13" s="10">
        <f>SUM(E3:E8)</f>
        <v>1.0995370370370371E-2</v>
      </c>
      <c r="F13" s="10">
        <f t="shared" si="0"/>
        <v>1.3773148148148149E-2</v>
      </c>
      <c r="G13" s="10">
        <f t="shared" si="0"/>
        <v>2.4259259259259258E-2</v>
      </c>
      <c r="H13" s="10">
        <f t="shared" si="0"/>
        <v>2.1458333333333336E-2</v>
      </c>
      <c r="I13" s="10">
        <f t="shared" si="0"/>
        <v>2.3125E-2</v>
      </c>
      <c r="J13" s="10">
        <f t="shared" si="0"/>
        <v>1.087962962962963E-2</v>
      </c>
      <c r="K13" s="10">
        <f t="shared" si="0"/>
        <v>1.087962962962963E-2</v>
      </c>
      <c r="L13" s="10">
        <f t="shared" si="0"/>
        <v>9.5138888888888894E-3</v>
      </c>
      <c r="M13" s="10">
        <f t="shared" si="0"/>
        <v>1.0787037037037038E-2</v>
      </c>
      <c r="N13" s="10">
        <f t="shared" si="0"/>
        <v>1.1481481481481481E-2</v>
      </c>
      <c r="O13" s="10">
        <f t="shared" si="0"/>
        <v>1.2175925925925927E-2</v>
      </c>
      <c r="P13" s="10">
        <f t="shared" si="0"/>
        <v>5.4861111111111109E-3</v>
      </c>
      <c r="Q13" s="10">
        <f t="shared" si="0"/>
        <v>5.4861111111111109E-3</v>
      </c>
      <c r="U13" t="s">
        <v>26</v>
      </c>
    </row>
    <row r="15" spans="1:25" x14ac:dyDescent="0.3">
      <c r="A15" s="2" t="s">
        <v>2</v>
      </c>
      <c r="B15" s="2" t="s">
        <v>3</v>
      </c>
      <c r="C15" t="b">
        <f t="shared" ref="C15:D15" si="1">C2&lt;6/1440</f>
        <v>1</v>
      </c>
      <c r="D15" t="b">
        <f t="shared" si="1"/>
        <v>1</v>
      </c>
      <c r="E15" t="b">
        <f>E2&lt;6/1440</f>
        <v>1</v>
      </c>
      <c r="F15" t="b">
        <f t="shared" ref="F15:O15" si="2">F2&lt;6/1440</f>
        <v>1</v>
      </c>
      <c r="G15" t="b">
        <f t="shared" si="2"/>
        <v>1</v>
      </c>
      <c r="H15" t="b">
        <f t="shared" si="2"/>
        <v>1</v>
      </c>
      <c r="I15" t="b">
        <f t="shared" si="2"/>
        <v>1</v>
      </c>
      <c r="J15" t="b">
        <f t="shared" si="2"/>
        <v>0</v>
      </c>
      <c r="K15" t="b">
        <f t="shared" si="2"/>
        <v>0</v>
      </c>
      <c r="L15" t="b">
        <f t="shared" si="2"/>
        <v>0</v>
      </c>
      <c r="M15" t="b">
        <f t="shared" si="2"/>
        <v>0</v>
      </c>
      <c r="N15" t="b">
        <f t="shared" si="2"/>
        <v>0</v>
      </c>
      <c r="O15" t="b">
        <f t="shared" si="2"/>
        <v>0</v>
      </c>
      <c r="P15" t="b">
        <f t="shared" ref="P15:Q15" si="3">P2&lt;6/1440</f>
        <v>0</v>
      </c>
      <c r="Q15" t="b">
        <f t="shared" si="3"/>
        <v>0</v>
      </c>
      <c r="U15" t="s">
        <v>27</v>
      </c>
    </row>
    <row r="16" spans="1:25" x14ac:dyDescent="0.3">
      <c r="A16" s="2">
        <v>1700</v>
      </c>
      <c r="B16" s="2" t="s">
        <v>6</v>
      </c>
      <c r="C16" t="b">
        <f t="shared" ref="C16:D16" si="4">C3&lt;3/1440</f>
        <v>1</v>
      </c>
      <c r="D16" t="b">
        <f t="shared" si="4"/>
        <v>1</v>
      </c>
      <c r="E16" t="b">
        <f t="shared" ref="E16:E21" si="5">E3&lt;3/1440</f>
        <v>0</v>
      </c>
      <c r="F16" t="b">
        <f t="shared" ref="F16:O16" si="6">F3&lt;3/1440</f>
        <v>0</v>
      </c>
      <c r="G16" t="b">
        <f t="shared" si="6"/>
        <v>0</v>
      </c>
      <c r="H16" t="b">
        <f t="shared" si="6"/>
        <v>0</v>
      </c>
      <c r="I16" t="b">
        <f t="shared" si="6"/>
        <v>0</v>
      </c>
      <c r="J16" t="b">
        <f t="shared" si="6"/>
        <v>0</v>
      </c>
      <c r="K16" t="b">
        <f t="shared" si="6"/>
        <v>0</v>
      </c>
      <c r="L16" t="b">
        <f t="shared" si="6"/>
        <v>0</v>
      </c>
      <c r="M16" t="b">
        <f t="shared" si="6"/>
        <v>0</v>
      </c>
      <c r="N16" t="b">
        <f t="shared" si="6"/>
        <v>0</v>
      </c>
      <c r="O16" t="b">
        <f t="shared" si="6"/>
        <v>0</v>
      </c>
      <c r="P16" t="b">
        <f t="shared" ref="P16:Q16" si="7">P3&lt;3/1440</f>
        <v>1</v>
      </c>
      <c r="Q16" t="b">
        <f t="shared" si="7"/>
        <v>1</v>
      </c>
      <c r="U16" t="s">
        <v>28</v>
      </c>
      <c r="Y16" t="s">
        <v>29</v>
      </c>
    </row>
    <row r="17" spans="1:25" x14ac:dyDescent="0.3">
      <c r="A17" s="2">
        <v>7000</v>
      </c>
      <c r="B17" s="2" t="s">
        <v>9</v>
      </c>
      <c r="C17" t="b">
        <f t="shared" ref="C17:D17" si="8">C4&lt;3/1440</f>
        <v>1</v>
      </c>
      <c r="D17" t="b">
        <f t="shared" si="8"/>
        <v>1</v>
      </c>
      <c r="E17" t="b">
        <f t="shared" si="5"/>
        <v>0</v>
      </c>
      <c r="F17" t="b">
        <f t="shared" ref="F17:O17" si="9">F4&lt;3/1440</f>
        <v>0</v>
      </c>
      <c r="G17" t="b">
        <f t="shared" si="9"/>
        <v>0</v>
      </c>
      <c r="H17" t="b">
        <f t="shared" si="9"/>
        <v>0</v>
      </c>
      <c r="I17" t="b">
        <f t="shared" si="9"/>
        <v>0</v>
      </c>
      <c r="J17" t="b">
        <f t="shared" si="9"/>
        <v>1</v>
      </c>
      <c r="K17" t="b">
        <f t="shared" si="9"/>
        <v>1</v>
      </c>
      <c r="L17" t="b">
        <f t="shared" si="9"/>
        <v>1</v>
      </c>
      <c r="M17" t="b">
        <f t="shared" si="9"/>
        <v>1</v>
      </c>
      <c r="N17" t="b">
        <f t="shared" si="9"/>
        <v>1</v>
      </c>
      <c r="O17" t="b">
        <f t="shared" si="9"/>
        <v>1</v>
      </c>
      <c r="P17" t="b">
        <f t="shared" ref="P17:Q17" si="10">P4&lt;3/1440</f>
        <v>1</v>
      </c>
      <c r="Q17" t="b">
        <f t="shared" si="10"/>
        <v>1</v>
      </c>
      <c r="Y17" t="s">
        <v>30</v>
      </c>
    </row>
    <row r="18" spans="1:25" x14ac:dyDescent="0.3">
      <c r="A18" s="2">
        <v>31200</v>
      </c>
      <c r="B18" s="2" t="s">
        <v>11</v>
      </c>
      <c r="C18" t="b">
        <f t="shared" ref="C18:D18" si="11">C5&lt;3/1440</f>
        <v>1</v>
      </c>
      <c r="D18" t="b">
        <f t="shared" si="11"/>
        <v>1</v>
      </c>
      <c r="E18" t="b">
        <f t="shared" si="5"/>
        <v>1</v>
      </c>
      <c r="F18" t="b">
        <f t="shared" ref="F18:O18" si="12">F5&lt;3/1440</f>
        <v>1</v>
      </c>
      <c r="G18" t="b">
        <f t="shared" si="12"/>
        <v>1</v>
      </c>
      <c r="H18" t="b">
        <f t="shared" si="12"/>
        <v>1</v>
      </c>
      <c r="I18" t="b">
        <f t="shared" si="12"/>
        <v>1</v>
      </c>
      <c r="J18" t="b">
        <f t="shared" si="12"/>
        <v>1</v>
      </c>
      <c r="K18" t="b">
        <f t="shared" si="12"/>
        <v>1</v>
      </c>
      <c r="L18" t="b">
        <f t="shared" si="12"/>
        <v>1</v>
      </c>
      <c r="M18" t="b">
        <f t="shared" si="12"/>
        <v>1</v>
      </c>
      <c r="N18" t="b">
        <f t="shared" si="12"/>
        <v>1</v>
      </c>
      <c r="O18" t="b">
        <f t="shared" si="12"/>
        <v>1</v>
      </c>
      <c r="P18" t="b">
        <f t="shared" ref="P18:Q18" si="13">P5&lt;3/1440</f>
        <v>1</v>
      </c>
      <c r="Q18" t="b">
        <f t="shared" si="13"/>
        <v>1</v>
      </c>
    </row>
    <row r="19" spans="1:25" x14ac:dyDescent="0.3">
      <c r="A19" s="2">
        <v>7900</v>
      </c>
      <c r="B19" s="2" t="s">
        <v>13</v>
      </c>
      <c r="C19" t="b">
        <f t="shared" ref="C19:D19" si="14">C6&lt;3/1440</f>
        <v>1</v>
      </c>
      <c r="D19" t="b">
        <f t="shared" si="14"/>
        <v>1</v>
      </c>
      <c r="E19" t="b">
        <f t="shared" si="5"/>
        <v>1</v>
      </c>
      <c r="F19" t="b">
        <f t="shared" ref="F19:O19" si="15">F6&lt;3/1440</f>
        <v>1</v>
      </c>
      <c r="G19" t="b">
        <f t="shared" si="15"/>
        <v>1</v>
      </c>
      <c r="H19" t="b">
        <f t="shared" si="15"/>
        <v>0</v>
      </c>
      <c r="I19" t="b">
        <f t="shared" si="15"/>
        <v>0</v>
      </c>
      <c r="J19" t="b">
        <f t="shared" si="15"/>
        <v>0</v>
      </c>
      <c r="K19" t="b">
        <f t="shared" si="15"/>
        <v>0</v>
      </c>
      <c r="L19" t="b">
        <f t="shared" si="15"/>
        <v>1</v>
      </c>
      <c r="M19" t="b">
        <f t="shared" si="15"/>
        <v>0</v>
      </c>
      <c r="N19" t="b">
        <f t="shared" si="15"/>
        <v>0</v>
      </c>
      <c r="O19" t="b">
        <f t="shared" si="15"/>
        <v>0</v>
      </c>
      <c r="P19" t="b">
        <f t="shared" ref="P19:Q19" si="16">P6&lt;3/1440</f>
        <v>1</v>
      </c>
      <c r="Q19" t="b">
        <f t="shared" si="16"/>
        <v>1</v>
      </c>
    </row>
    <row r="20" spans="1:25" x14ac:dyDescent="0.3">
      <c r="A20" s="2">
        <v>31300</v>
      </c>
      <c r="B20" s="2" t="s">
        <v>3</v>
      </c>
      <c r="C20" t="b">
        <f>C7&lt;3/1440</f>
        <v>1</v>
      </c>
      <c r="D20" t="b">
        <f>D7&lt;3/1440</f>
        <v>1</v>
      </c>
      <c r="E20" t="b">
        <f t="shared" si="5"/>
        <v>1</v>
      </c>
      <c r="F20" t="b">
        <f t="shared" ref="F20:O21" si="17">F7&lt;3/1440</f>
        <v>1</v>
      </c>
      <c r="G20" t="b">
        <f t="shared" si="17"/>
        <v>1</v>
      </c>
      <c r="H20" t="b">
        <f t="shared" si="17"/>
        <v>1</v>
      </c>
      <c r="I20" t="b">
        <f t="shared" si="17"/>
        <v>1</v>
      </c>
      <c r="J20" t="b">
        <f t="shared" si="17"/>
        <v>1</v>
      </c>
      <c r="K20" t="b">
        <f t="shared" si="17"/>
        <v>1</v>
      </c>
      <c r="L20" t="b">
        <f t="shared" si="17"/>
        <v>1</v>
      </c>
      <c r="M20" t="b">
        <f t="shared" si="17"/>
        <v>1</v>
      </c>
      <c r="N20" t="b">
        <f t="shared" si="17"/>
        <v>1</v>
      </c>
      <c r="O20" t="b">
        <f t="shared" si="17"/>
        <v>1</v>
      </c>
      <c r="P20" t="b">
        <f>P7&lt;3/1440</f>
        <v>1</v>
      </c>
      <c r="Q20" t="b">
        <f>Q7&lt;3/1440</f>
        <v>1</v>
      </c>
    </row>
    <row r="21" spans="1:25" x14ac:dyDescent="0.3">
      <c r="A21" s="2">
        <v>3600</v>
      </c>
      <c r="B21" s="2" t="s">
        <v>16</v>
      </c>
      <c r="C21" t="b">
        <f>C8&lt;3/1440</f>
        <v>0</v>
      </c>
      <c r="D21" t="b">
        <f>D8&lt;3/1440</f>
        <v>0</v>
      </c>
      <c r="E21" t="b">
        <f t="shared" si="5"/>
        <v>0</v>
      </c>
      <c r="F21" t="b">
        <f t="shared" si="17"/>
        <v>0</v>
      </c>
      <c r="G21" t="b">
        <f t="shared" si="17"/>
        <v>0</v>
      </c>
      <c r="H21" t="b">
        <f t="shared" si="17"/>
        <v>1</v>
      </c>
      <c r="I21" t="b">
        <f t="shared" si="17"/>
        <v>1</v>
      </c>
      <c r="J21" t="b">
        <f t="shared" si="17"/>
        <v>1</v>
      </c>
      <c r="K21" t="b">
        <f t="shared" si="17"/>
        <v>1</v>
      </c>
      <c r="L21" t="b">
        <f t="shared" si="17"/>
        <v>1</v>
      </c>
      <c r="M21" t="b">
        <f t="shared" si="17"/>
        <v>1</v>
      </c>
      <c r="N21" t="b">
        <f t="shared" si="17"/>
        <v>1</v>
      </c>
      <c r="O21" t="b">
        <f t="shared" si="17"/>
        <v>1</v>
      </c>
      <c r="P21" t="b">
        <f>P8&lt;3/1440</f>
        <v>1</v>
      </c>
      <c r="Q21" t="b">
        <f>Q8&lt;3/1440</f>
        <v>1</v>
      </c>
    </row>
    <row r="22" spans="1:25" x14ac:dyDescent="0.3">
      <c r="A22" s="2">
        <v>20350</v>
      </c>
      <c r="B22" s="7" t="s">
        <v>18</v>
      </c>
      <c r="C22" t="b">
        <f t="shared" ref="C22:D22" si="18">C9&lt;3/1440</f>
        <v>1</v>
      </c>
      <c r="D22" t="b">
        <f t="shared" si="18"/>
        <v>1</v>
      </c>
      <c r="E22" t="b">
        <f t="shared" ref="E22" si="19">E9&lt;3/1440</f>
        <v>1</v>
      </c>
      <c r="F22" t="b">
        <f t="shared" ref="F22:O22" si="20">F9&lt;3/1440</f>
        <v>1</v>
      </c>
      <c r="G22" t="b">
        <f t="shared" si="20"/>
        <v>1</v>
      </c>
      <c r="H22" t="b">
        <f t="shared" si="20"/>
        <v>1</v>
      </c>
      <c r="I22" t="b">
        <f t="shared" si="20"/>
        <v>1</v>
      </c>
      <c r="J22" t="b">
        <f t="shared" si="20"/>
        <v>1</v>
      </c>
      <c r="K22" t="b">
        <f t="shared" si="20"/>
        <v>1</v>
      </c>
      <c r="L22" t="b">
        <f t="shared" si="20"/>
        <v>1</v>
      </c>
      <c r="M22" t="b">
        <f t="shared" si="20"/>
        <v>1</v>
      </c>
      <c r="N22" t="b">
        <f t="shared" si="20"/>
        <v>1</v>
      </c>
      <c r="O22" t="b">
        <f t="shared" si="20"/>
        <v>1</v>
      </c>
      <c r="P22" t="b">
        <f t="shared" ref="P22:Q22" si="21">P9&lt;3/1440</f>
        <v>1</v>
      </c>
      <c r="Q22" t="b">
        <f t="shared" si="21"/>
        <v>1</v>
      </c>
    </row>
    <row r="23" spans="1:25" x14ac:dyDescent="0.3">
      <c r="A23" s="2">
        <v>31200</v>
      </c>
      <c r="B23" s="2" t="s">
        <v>18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 s="3"/>
      <c r="S23" s="3"/>
    </row>
    <row r="24" spans="1:25" x14ac:dyDescent="0.3">
      <c r="A24" s="2">
        <v>31200</v>
      </c>
      <c r="B24" s="2" t="s">
        <v>24</v>
      </c>
      <c r="C24" t="b">
        <f t="shared" ref="C24:D24" si="22">C11&lt;3/1440</f>
        <v>1</v>
      </c>
      <c r="D24" t="b">
        <f t="shared" si="22"/>
        <v>1</v>
      </c>
      <c r="E24" t="b">
        <f t="shared" ref="E24:O25" si="23">E11&lt;3/1440</f>
        <v>1</v>
      </c>
      <c r="F24" t="b">
        <f t="shared" si="23"/>
        <v>1</v>
      </c>
      <c r="G24" t="b">
        <f t="shared" si="23"/>
        <v>1</v>
      </c>
      <c r="H24" t="b">
        <f t="shared" si="23"/>
        <v>1</v>
      </c>
      <c r="I24" t="b">
        <f t="shared" si="23"/>
        <v>1</v>
      </c>
      <c r="J24" t="b">
        <f t="shared" si="23"/>
        <v>1</v>
      </c>
      <c r="K24" t="b">
        <f t="shared" si="23"/>
        <v>1</v>
      </c>
      <c r="L24" t="b">
        <f t="shared" si="23"/>
        <v>1</v>
      </c>
      <c r="M24" t="b">
        <f t="shared" si="23"/>
        <v>1</v>
      </c>
      <c r="N24" t="b">
        <f t="shared" si="23"/>
        <v>1</v>
      </c>
      <c r="O24" t="b">
        <f t="shared" si="23"/>
        <v>1</v>
      </c>
      <c r="P24" t="b">
        <f t="shared" ref="P24:Q24" si="24">P11&lt;3/1440</f>
        <v>1</v>
      </c>
      <c r="Q24" t="b">
        <f t="shared" si="24"/>
        <v>1</v>
      </c>
    </row>
    <row r="25" spans="1:25" x14ac:dyDescent="0.3">
      <c r="A25" s="2">
        <v>7900</v>
      </c>
      <c r="B25" s="2" t="s">
        <v>16</v>
      </c>
      <c r="C25" t="b">
        <f t="shared" ref="C25:D25" si="25">C12&lt;3/1440</f>
        <v>1</v>
      </c>
      <c r="D25" t="b">
        <f t="shared" si="25"/>
        <v>1</v>
      </c>
      <c r="E25" t="b">
        <f t="shared" si="23"/>
        <v>1</v>
      </c>
      <c r="F25" t="b">
        <f t="shared" si="23"/>
        <v>1</v>
      </c>
      <c r="G25" t="b">
        <f t="shared" si="23"/>
        <v>1</v>
      </c>
      <c r="H25" t="b">
        <f t="shared" si="23"/>
        <v>1</v>
      </c>
      <c r="I25" t="b">
        <f t="shared" si="23"/>
        <v>1</v>
      </c>
      <c r="J25" t="b">
        <f t="shared" si="23"/>
        <v>1</v>
      </c>
      <c r="K25" t="b">
        <f t="shared" si="23"/>
        <v>1</v>
      </c>
      <c r="L25" t="b">
        <f t="shared" si="23"/>
        <v>1</v>
      </c>
      <c r="M25" t="b">
        <f t="shared" si="23"/>
        <v>1</v>
      </c>
      <c r="N25" t="b">
        <f t="shared" si="23"/>
        <v>1</v>
      </c>
      <c r="O25" t="b">
        <f t="shared" si="23"/>
        <v>1</v>
      </c>
      <c r="P25" t="b">
        <f t="shared" ref="P25:Q25" si="26">P12&lt;3/1440</f>
        <v>1</v>
      </c>
      <c r="Q25" t="b">
        <f t="shared" si="26"/>
        <v>1</v>
      </c>
    </row>
    <row r="26" spans="1:25" x14ac:dyDescent="0.3">
      <c r="A26" t="s">
        <v>31</v>
      </c>
      <c r="C26" s="12">
        <f>COUNTIF(C16:C21,TRUE) / 6</f>
        <v>0.83333333333333337</v>
      </c>
      <c r="D26" s="12">
        <f t="shared" ref="D26:Q26" si="27">COUNTIF(D16:D21,TRUE) / 6</f>
        <v>0.83333333333333337</v>
      </c>
      <c r="E26" s="12">
        <f t="shared" si="27"/>
        <v>0.5</v>
      </c>
      <c r="F26" s="12">
        <f t="shared" si="27"/>
        <v>0.5</v>
      </c>
      <c r="G26" s="12">
        <f t="shared" si="27"/>
        <v>0.5</v>
      </c>
      <c r="H26" s="12">
        <f t="shared" si="27"/>
        <v>0.5</v>
      </c>
      <c r="I26" s="12">
        <f t="shared" si="27"/>
        <v>0.5</v>
      </c>
      <c r="J26" s="12">
        <f t="shared" si="27"/>
        <v>0.66666666666666663</v>
      </c>
      <c r="K26" s="12">
        <f t="shared" si="27"/>
        <v>0.66666666666666663</v>
      </c>
      <c r="L26" s="12">
        <f t="shared" si="27"/>
        <v>0.83333333333333337</v>
      </c>
      <c r="M26" s="12">
        <f t="shared" si="27"/>
        <v>0.66666666666666663</v>
      </c>
      <c r="N26" s="12">
        <f t="shared" si="27"/>
        <v>0.66666666666666663</v>
      </c>
      <c r="O26" s="12">
        <f t="shared" si="27"/>
        <v>0.66666666666666663</v>
      </c>
      <c r="P26" s="12">
        <f t="shared" si="27"/>
        <v>1</v>
      </c>
      <c r="Q26" s="12">
        <f t="shared" si="27"/>
        <v>1</v>
      </c>
      <c r="R26" s="12"/>
      <c r="S26" s="12"/>
      <c r="U26" t="s">
        <v>32</v>
      </c>
    </row>
    <row r="28" spans="1:25" x14ac:dyDescent="0.3">
      <c r="A28" t="s">
        <v>33</v>
      </c>
      <c r="C28" s="3">
        <f t="shared" ref="C28:D28" si="28">C2-C1</f>
        <v>-2.0833333333333333E-3</v>
      </c>
      <c r="D28" s="3">
        <f t="shared" si="28"/>
        <v>-2.7777777777777779E-3</v>
      </c>
      <c r="E28" s="3">
        <f>E2-E1</f>
        <v>-3.472222222222222E-3</v>
      </c>
      <c r="F28" s="3">
        <f t="shared" ref="F28:O28" si="29">F2-F1</f>
        <v>-4.0046296296296297E-3</v>
      </c>
      <c r="G28" s="3">
        <f t="shared" si="29"/>
        <v>-4.0046296296296288E-3</v>
      </c>
      <c r="H28" s="3">
        <f t="shared" si="29"/>
        <v>-3.5879629629629573E-3</v>
      </c>
      <c r="I28" s="3">
        <f t="shared" si="29"/>
        <v>-4.0046296296296306E-3</v>
      </c>
      <c r="J28" s="3">
        <f t="shared" si="29"/>
        <v>2.7546296296296338E-3</v>
      </c>
      <c r="K28" s="3">
        <f t="shared" si="29"/>
        <v>2.0601851851851831E-3</v>
      </c>
      <c r="L28" s="3">
        <f t="shared" si="29"/>
        <v>1.3657407407407438E-3</v>
      </c>
      <c r="M28" s="3">
        <f t="shared" si="29"/>
        <v>6.712962962962931E-4</v>
      </c>
      <c r="N28" s="3">
        <f t="shared" si="29"/>
        <v>-2.3148148148147141E-5</v>
      </c>
      <c r="O28" s="3">
        <f t="shared" si="29"/>
        <v>-7.1759259259262728E-4</v>
      </c>
      <c r="P28" s="3">
        <f t="shared" ref="P28:Q28" si="30">P2-P1</f>
        <v>3.7037037037037056E-3</v>
      </c>
      <c r="Q28" s="3">
        <f t="shared" si="30"/>
        <v>2.3148148148148182E-4</v>
      </c>
      <c r="R28" t="s">
        <v>34</v>
      </c>
    </row>
    <row r="29" spans="1:25" x14ac:dyDescent="0.3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t="s">
        <v>35</v>
      </c>
    </row>
    <row r="30" spans="1:25" x14ac:dyDescent="0.3">
      <c r="A30" t="s">
        <v>36</v>
      </c>
      <c r="C30" t="s">
        <v>37</v>
      </c>
      <c r="D30" t="s">
        <v>37</v>
      </c>
      <c r="E30" t="s">
        <v>37</v>
      </c>
    </row>
    <row r="31" spans="1:25" x14ac:dyDescent="0.3">
      <c r="A31" t="s">
        <v>38</v>
      </c>
      <c r="C31" s="12">
        <f>(C20+C21+C23+C24+C25)/5</f>
        <v>0.8</v>
      </c>
      <c r="D31" s="12">
        <f t="shared" ref="D31:Q31" si="31">(D20+D21+D23+D24+D25)/5</f>
        <v>0.8</v>
      </c>
      <c r="E31" s="12">
        <f t="shared" si="31"/>
        <v>0.8</v>
      </c>
      <c r="F31" s="12">
        <f t="shared" si="31"/>
        <v>0.8</v>
      </c>
      <c r="G31" s="12">
        <f t="shared" si="31"/>
        <v>0.8</v>
      </c>
      <c r="H31" s="12">
        <f t="shared" si="31"/>
        <v>1</v>
      </c>
      <c r="I31" s="12">
        <f t="shared" si="31"/>
        <v>1</v>
      </c>
      <c r="J31" s="12">
        <f t="shared" si="31"/>
        <v>1</v>
      </c>
      <c r="K31" s="12">
        <f t="shared" si="31"/>
        <v>1</v>
      </c>
      <c r="L31" s="12">
        <f t="shared" si="31"/>
        <v>1</v>
      </c>
      <c r="M31" s="12">
        <f t="shared" si="31"/>
        <v>1</v>
      </c>
      <c r="N31" s="12">
        <f t="shared" si="31"/>
        <v>1</v>
      </c>
      <c r="O31" s="12">
        <f t="shared" si="31"/>
        <v>1</v>
      </c>
      <c r="P31" s="12">
        <f t="shared" si="31"/>
        <v>1</v>
      </c>
      <c r="Q31" s="12">
        <f t="shared" si="31"/>
        <v>1</v>
      </c>
      <c r="U31" t="s">
        <v>39</v>
      </c>
    </row>
    <row r="33" spans="1:17" x14ac:dyDescent="0.3">
      <c r="M33" t="s">
        <v>18</v>
      </c>
      <c r="N33" t="s">
        <v>40</v>
      </c>
    </row>
    <row r="34" spans="1:17" x14ac:dyDescent="0.3">
      <c r="A34" t="s">
        <v>41</v>
      </c>
      <c r="L34" t="s">
        <v>42</v>
      </c>
      <c r="M34" s="23">
        <v>0.40763888888888888</v>
      </c>
      <c r="N34" s="23">
        <v>0.41458333333333336</v>
      </c>
    </row>
    <row r="35" spans="1:17" x14ac:dyDescent="0.3">
      <c r="A35" t="s">
        <v>43</v>
      </c>
      <c r="L35" t="s">
        <v>12</v>
      </c>
      <c r="N35" s="23">
        <v>0.41875000000000001</v>
      </c>
      <c r="O35" s="23">
        <v>0.42569444444444443</v>
      </c>
      <c r="P35" s="23"/>
      <c r="Q35" s="23"/>
    </row>
    <row r="36" spans="1:17" x14ac:dyDescent="0.3">
      <c r="A36" t="s">
        <v>44</v>
      </c>
      <c r="L36" t="s">
        <v>45</v>
      </c>
      <c r="M36" s="23">
        <v>0.4284722222222222</v>
      </c>
      <c r="N36" s="23">
        <v>0.43541666666666667</v>
      </c>
    </row>
    <row r="37" spans="1:17" x14ac:dyDescent="0.3">
      <c r="A37" t="s">
        <v>46</v>
      </c>
      <c r="L37" t="s">
        <v>47</v>
      </c>
      <c r="N37" s="23">
        <v>0.43958333333333333</v>
      </c>
      <c r="O37" s="23">
        <v>0.4465277777777778</v>
      </c>
      <c r="P37" s="23"/>
      <c r="Q37" s="23"/>
    </row>
    <row r="38" spans="1:17" x14ac:dyDescent="0.3">
      <c r="A38" t="s">
        <v>48</v>
      </c>
    </row>
    <row r="39" spans="1:17" x14ac:dyDescent="0.3">
      <c r="A39" t="s">
        <v>49</v>
      </c>
    </row>
    <row r="40" spans="1:17" x14ac:dyDescent="0.3">
      <c r="A40" t="s">
        <v>50</v>
      </c>
    </row>
    <row r="41" spans="1:17" x14ac:dyDescent="0.3">
      <c r="A41" t="s">
        <v>51</v>
      </c>
    </row>
    <row r="42" spans="1:17" x14ac:dyDescent="0.3">
      <c r="A42" t="s">
        <v>52</v>
      </c>
    </row>
    <row r="43" spans="1:17" x14ac:dyDescent="0.3">
      <c r="A43" t="s">
        <v>53</v>
      </c>
    </row>
    <row r="44" spans="1:17" x14ac:dyDescent="0.3">
      <c r="A44" t="s">
        <v>54</v>
      </c>
    </row>
    <row r="47" spans="1:17" x14ac:dyDescent="0.3">
      <c r="J47" t="s">
        <v>55</v>
      </c>
    </row>
    <row r="48" spans="1:17" x14ac:dyDescent="0.3">
      <c r="J48" t="s">
        <v>56</v>
      </c>
    </row>
    <row r="49" spans="10:10" x14ac:dyDescent="0.3">
      <c r="J49" t="s">
        <v>57</v>
      </c>
    </row>
    <row r="50" spans="10:10" x14ac:dyDescent="0.3">
      <c r="J50" t="s">
        <v>58</v>
      </c>
    </row>
    <row r="51" spans="10:10" x14ac:dyDescent="0.3">
      <c r="J5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5B38-DC21-45ED-BB5F-D92A80B36E19}">
  <dimension ref="A1:T31"/>
  <sheetViews>
    <sheetView workbookViewId="0">
      <selection activeCell="C13" sqref="C13"/>
    </sheetView>
  </sheetViews>
  <sheetFormatPr defaultRowHeight="15" customHeight="1" x14ac:dyDescent="0.3"/>
  <cols>
    <col min="1" max="17" width="10.6640625" customWidth="1"/>
  </cols>
  <sheetData>
    <row r="1" spans="1:20" ht="14.4" x14ac:dyDescent="0.3">
      <c r="A1" s="17" t="s">
        <v>0</v>
      </c>
      <c r="B1" s="18"/>
      <c r="C1" s="19">
        <v>2.0833333333333333E-3</v>
      </c>
      <c r="D1" s="19">
        <v>2.7777777777777779E-3</v>
      </c>
      <c r="E1" s="19">
        <v>3.472222222222222E-3</v>
      </c>
      <c r="F1" s="19">
        <v>4.1666666666666666E-3</v>
      </c>
      <c r="G1" s="19">
        <v>4.8611111111111103E-3</v>
      </c>
      <c r="H1" s="19">
        <v>5.5555555555555497E-3</v>
      </c>
      <c r="I1" s="19">
        <v>6.2500000000000003E-3</v>
      </c>
      <c r="J1" s="19">
        <v>6.9444444444444397E-3</v>
      </c>
      <c r="K1" s="19">
        <v>7.6388888888888904E-3</v>
      </c>
      <c r="L1" s="19">
        <v>8.3333333333333297E-3</v>
      </c>
      <c r="M1" s="19">
        <v>9.0277777777777804E-3</v>
      </c>
      <c r="N1" s="19">
        <v>9.7222222222222206E-3</v>
      </c>
      <c r="O1" s="19">
        <v>1.0416666666666701E-2</v>
      </c>
      <c r="P1" s="19">
        <v>1.3888888888888888E-2</v>
      </c>
      <c r="Q1" s="19">
        <v>1.7361111111111112E-2</v>
      </c>
      <c r="R1" t="s">
        <v>1</v>
      </c>
    </row>
    <row r="2" spans="1:20" ht="14.4" x14ac:dyDescent="0.3">
      <c r="A2" s="20" t="s">
        <v>2</v>
      </c>
      <c r="B2" s="21" t="s">
        <v>3</v>
      </c>
      <c r="C2" s="24">
        <v>0</v>
      </c>
      <c r="D2" s="24">
        <v>0</v>
      </c>
      <c r="E2" s="22">
        <v>4.861111111111111E-4</v>
      </c>
      <c r="F2" s="22">
        <v>9.6990740740740735E-3</v>
      </c>
      <c r="G2" s="22">
        <v>9.6990740740740735E-3</v>
      </c>
      <c r="H2" s="22">
        <v>9.6990740740740735E-3</v>
      </c>
      <c r="I2" s="22">
        <v>9.6990740740740735E-3</v>
      </c>
      <c r="J2" s="22">
        <v>9.6990740740740735E-3</v>
      </c>
      <c r="K2" s="22">
        <v>9.6990740740740735E-3</v>
      </c>
      <c r="L2" s="22">
        <v>9.6990740740740735E-3</v>
      </c>
      <c r="M2" s="22">
        <v>9.6990740740740735E-3</v>
      </c>
      <c r="N2" s="22">
        <v>9.6990740740740735E-3</v>
      </c>
      <c r="O2" s="22">
        <v>9.5370370370370366E-3</v>
      </c>
      <c r="P2" s="22">
        <v>1.7592592592592594E-2</v>
      </c>
      <c r="Q2" s="22">
        <v>1.7592592592592594E-2</v>
      </c>
      <c r="R2" t="s">
        <v>4</v>
      </c>
      <c r="T2" t="s">
        <v>60</v>
      </c>
    </row>
    <row r="3" spans="1:20" ht="14.4" x14ac:dyDescent="0.3">
      <c r="A3" s="2">
        <v>1700</v>
      </c>
      <c r="B3" s="7" t="s">
        <v>6</v>
      </c>
      <c r="C3" s="25">
        <v>1.9212962962962964E-3</v>
      </c>
      <c r="D3" s="25">
        <v>2.6157407407407405E-3</v>
      </c>
      <c r="E3" s="3">
        <v>3.2870370370370371E-3</v>
      </c>
      <c r="F3" s="3">
        <v>6.1111111111111114E-3</v>
      </c>
      <c r="G3" s="3">
        <v>6.1111111111111114E-3</v>
      </c>
      <c r="H3" s="3">
        <v>6.1111111111111114E-3</v>
      </c>
      <c r="I3" s="29">
        <v>3.7268518518518519E-3</v>
      </c>
      <c r="J3" s="3">
        <v>6.1111111111111114E-3</v>
      </c>
      <c r="K3" s="3">
        <v>6.1111111111111114E-3</v>
      </c>
      <c r="L3" s="3">
        <v>6.1111111111111114E-3</v>
      </c>
      <c r="M3" s="3">
        <v>6.1111111111111114E-3</v>
      </c>
      <c r="N3" s="3">
        <v>6.1111111111111114E-3</v>
      </c>
      <c r="O3" s="3">
        <v>1.136574074074074E-2</v>
      </c>
      <c r="P3" s="3">
        <v>1.5509259259259259E-3</v>
      </c>
      <c r="Q3" s="3">
        <v>1.5509259259259259E-3</v>
      </c>
      <c r="R3" t="s">
        <v>7</v>
      </c>
    </row>
    <row r="4" spans="1:20" ht="14.4" x14ac:dyDescent="0.3">
      <c r="A4" s="2">
        <v>7000</v>
      </c>
      <c r="B4" s="7" t="s">
        <v>9</v>
      </c>
      <c r="C4" s="25">
        <v>1.736111111111111E-3</v>
      </c>
      <c r="D4" s="25">
        <v>2.4074074074074076E-3</v>
      </c>
      <c r="E4" s="3">
        <v>3.1018518518518517E-3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1.3657407407407407E-3</v>
      </c>
      <c r="Q4" s="3">
        <v>1.3657407407407407E-3</v>
      </c>
      <c r="R4" t="s">
        <v>10</v>
      </c>
    </row>
    <row r="5" spans="1:20" ht="14.4" x14ac:dyDescent="0.3">
      <c r="A5" s="2">
        <v>31200</v>
      </c>
      <c r="B5" s="7" t="s">
        <v>11</v>
      </c>
      <c r="C5" s="25">
        <v>2.8703703703703703E-3</v>
      </c>
      <c r="D5" s="25">
        <v>2.8703703703703703E-3</v>
      </c>
      <c r="E5" s="3">
        <v>2.9398148148148148E-3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t="s">
        <v>12</v>
      </c>
    </row>
    <row r="6" spans="1:20" ht="14.4" x14ac:dyDescent="0.3">
      <c r="A6" s="2">
        <v>7900</v>
      </c>
      <c r="B6" s="7" t="s">
        <v>13</v>
      </c>
      <c r="C6" s="25">
        <v>7.407407407407407E-4</v>
      </c>
      <c r="D6" s="25">
        <v>1.3657407407407407E-3</v>
      </c>
      <c r="E6" s="3">
        <v>2.0601851851851853E-3</v>
      </c>
      <c r="F6" s="3">
        <v>1.6203703703703703E-3</v>
      </c>
      <c r="G6" s="3">
        <v>1.6203703703703703E-3</v>
      </c>
      <c r="H6" s="3">
        <v>1.6203703703703703E-3</v>
      </c>
      <c r="I6" s="3">
        <v>1.6203703703703703E-3</v>
      </c>
      <c r="J6" s="3">
        <v>1.5972222222222223E-3</v>
      </c>
      <c r="K6" s="3">
        <v>1.6203703703703703E-3</v>
      </c>
      <c r="L6" s="3">
        <v>2.4305555555555556E-3</v>
      </c>
      <c r="M6" s="3">
        <v>3.1250000000000002E-3</v>
      </c>
      <c r="N6" s="3">
        <v>3.8194444444444443E-3</v>
      </c>
      <c r="O6" s="3">
        <v>0</v>
      </c>
      <c r="P6" s="3">
        <v>0</v>
      </c>
      <c r="Q6" s="3">
        <v>0</v>
      </c>
      <c r="R6" t="s">
        <v>14</v>
      </c>
    </row>
    <row r="7" spans="1:20" ht="14.4" x14ac:dyDescent="0.3">
      <c r="A7" s="2">
        <v>31300</v>
      </c>
      <c r="B7" s="7" t="s">
        <v>3</v>
      </c>
      <c r="C7" s="25">
        <v>0</v>
      </c>
      <c r="D7" s="25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t="s">
        <v>15</v>
      </c>
    </row>
    <row r="8" spans="1:20" ht="14.4" x14ac:dyDescent="0.3">
      <c r="A8" s="2">
        <v>3600</v>
      </c>
      <c r="B8" s="7" t="s">
        <v>16</v>
      </c>
      <c r="C8" s="25">
        <v>4.3518518518518515E-3</v>
      </c>
      <c r="D8" s="25">
        <v>5.0000000000000001E-3</v>
      </c>
      <c r="E8" s="3">
        <v>5.6944444444444447E-3</v>
      </c>
      <c r="F8" s="3">
        <v>9.4907407407407408E-4</v>
      </c>
      <c r="G8" s="3">
        <v>9.4907407407407408E-4</v>
      </c>
      <c r="H8" s="3">
        <v>9.4907407407407408E-4</v>
      </c>
      <c r="I8" s="3">
        <v>9.4907407407407408E-4</v>
      </c>
      <c r="J8" s="3">
        <v>9.4907407407407408E-4</v>
      </c>
      <c r="K8" s="3">
        <v>9.4907407407407408E-4</v>
      </c>
      <c r="L8" s="3">
        <v>9.4907407407407408E-4</v>
      </c>
      <c r="M8" s="3">
        <v>9.4907407407407408E-4</v>
      </c>
      <c r="N8" s="3">
        <v>9.4907407407407408E-4</v>
      </c>
      <c r="O8" s="3">
        <v>9.4907407407407408E-4</v>
      </c>
      <c r="P8" s="3">
        <v>9.4907407407407408E-4</v>
      </c>
      <c r="Q8" s="3">
        <v>9.4907407407407408E-4</v>
      </c>
      <c r="R8" t="s">
        <v>17</v>
      </c>
    </row>
    <row r="9" spans="1:20" ht="14.4" x14ac:dyDescent="0.3">
      <c r="A9" s="2">
        <v>20350</v>
      </c>
      <c r="B9" s="7" t="s">
        <v>18</v>
      </c>
      <c r="C9" s="25">
        <v>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2">
        <v>2.3148148148148147E-5</v>
      </c>
      <c r="O9" s="22">
        <v>7.407407407407407E-4</v>
      </c>
      <c r="P9" s="22">
        <v>4.0972222222222226E-3</v>
      </c>
      <c r="Q9" s="22">
        <v>0</v>
      </c>
      <c r="R9" t="s">
        <v>19</v>
      </c>
    </row>
    <row r="10" spans="1:20" ht="14.4" x14ac:dyDescent="0.3">
      <c r="A10" s="4">
        <v>31200</v>
      </c>
      <c r="B10" s="8" t="s">
        <v>18</v>
      </c>
      <c r="C10" s="28">
        <v>3.2638888888888891E-3</v>
      </c>
      <c r="D10" s="28">
        <v>3.8888888888888888E-3</v>
      </c>
      <c r="E10" s="5">
        <v>4.5833333333333334E-3</v>
      </c>
      <c r="F10" s="5">
        <v>1.1574074074074075E-4</v>
      </c>
      <c r="G10" s="5">
        <v>1.1574074074074075E-4</v>
      </c>
      <c r="H10" s="5">
        <v>1.1574074074074075E-4</v>
      </c>
      <c r="I10" s="5">
        <v>1.1574074074074075E-4</v>
      </c>
      <c r="J10" s="5">
        <v>1.1574074074074075E-4</v>
      </c>
      <c r="K10" s="5">
        <v>1.1574074074074075E-4</v>
      </c>
      <c r="L10" s="5">
        <v>1.1574074074074075E-4</v>
      </c>
      <c r="M10" s="5">
        <v>1.1574074074074075E-4</v>
      </c>
      <c r="N10" s="5">
        <v>1.1574074074074075E-4</v>
      </c>
      <c r="O10" s="5">
        <v>1.1574074074074075E-4</v>
      </c>
      <c r="P10" s="5">
        <v>1.1574074074074075E-4</v>
      </c>
      <c r="Q10" s="5">
        <v>1.1574074074074075E-4</v>
      </c>
    </row>
    <row r="11" spans="1:20" ht="14.4" x14ac:dyDescent="0.3">
      <c r="A11" s="2">
        <v>31200</v>
      </c>
      <c r="B11" s="7" t="s">
        <v>24</v>
      </c>
      <c r="C11" s="25">
        <v>1.8749999999999999E-3</v>
      </c>
      <c r="D11" s="25">
        <v>1.8749999999999999E-3</v>
      </c>
      <c r="E11" s="3">
        <v>1.9444444444444444E-3</v>
      </c>
      <c r="F11" s="3">
        <v>1.6203703703703703E-4</v>
      </c>
      <c r="G11" s="3">
        <v>1.6203703703703703E-4</v>
      </c>
      <c r="H11" s="3">
        <v>1.6203703703703703E-4</v>
      </c>
      <c r="I11" s="3">
        <v>1.6203703703703703E-4</v>
      </c>
      <c r="J11" s="3">
        <v>1.6203703703703703E-4</v>
      </c>
      <c r="K11" s="3">
        <v>1.6203703703703703E-4</v>
      </c>
      <c r="L11" s="3">
        <v>1.6203703703703703E-4</v>
      </c>
      <c r="M11" s="3">
        <v>1.6203703703703703E-4</v>
      </c>
      <c r="N11" s="3">
        <v>1.6203703703703703E-4</v>
      </c>
      <c r="O11" s="3">
        <v>1.6203703703703703E-4</v>
      </c>
      <c r="P11" s="3">
        <v>1.6203703703703703E-4</v>
      </c>
      <c r="Q11" s="3">
        <v>1.6203703703703703E-4</v>
      </c>
    </row>
    <row r="12" spans="1:20" ht="14.4" x14ac:dyDescent="0.3">
      <c r="A12" s="2">
        <v>7900</v>
      </c>
      <c r="B12" s="7" t="s">
        <v>16</v>
      </c>
      <c r="C12" s="25">
        <v>0</v>
      </c>
      <c r="D12" s="25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</row>
    <row r="13" spans="1:20" ht="14.4" x14ac:dyDescent="0.3">
      <c r="A13" s="9" t="s">
        <v>25</v>
      </c>
      <c r="B13" s="9"/>
      <c r="C13" s="10">
        <f t="shared" ref="C13:Q13" si="0">SUM(C3:C8)</f>
        <v>1.1620370370370371E-2</v>
      </c>
      <c r="D13" s="10">
        <f t="shared" si="0"/>
        <v>1.425925925925926E-2</v>
      </c>
      <c r="E13" s="10">
        <f t="shared" si="0"/>
        <v>1.7083333333333332E-2</v>
      </c>
      <c r="F13" s="10">
        <f t="shared" si="0"/>
        <v>8.6805555555555559E-3</v>
      </c>
      <c r="G13" s="10">
        <f t="shared" si="0"/>
        <v>8.6805555555555559E-3</v>
      </c>
      <c r="H13" s="10">
        <f t="shared" si="0"/>
        <v>8.6805555555555559E-3</v>
      </c>
      <c r="I13" s="10">
        <f t="shared" si="0"/>
        <v>6.2962962962962964E-3</v>
      </c>
      <c r="J13" s="10">
        <f t="shared" si="0"/>
        <v>8.6574074074074071E-3</v>
      </c>
      <c r="K13" s="10">
        <f t="shared" si="0"/>
        <v>8.6805555555555559E-3</v>
      </c>
      <c r="L13" s="10">
        <f t="shared" si="0"/>
        <v>9.4907407407407406E-3</v>
      </c>
      <c r="M13" s="10">
        <f t="shared" si="0"/>
        <v>1.0185185185185186E-2</v>
      </c>
      <c r="N13" s="10">
        <f t="shared" si="0"/>
        <v>1.087962962962963E-2</v>
      </c>
      <c r="O13" s="10">
        <f t="shared" si="0"/>
        <v>1.2314814814814815E-2</v>
      </c>
      <c r="P13" s="10">
        <f t="shared" si="0"/>
        <v>3.8657407407407403E-3</v>
      </c>
      <c r="Q13" s="10">
        <f t="shared" si="0"/>
        <v>3.8657407407407403E-3</v>
      </c>
    </row>
    <row r="15" spans="1:20" ht="14.4" x14ac:dyDescent="0.3">
      <c r="A15" s="2" t="s">
        <v>2</v>
      </c>
      <c r="B15" s="2" t="s">
        <v>3</v>
      </c>
      <c r="C15" t="b">
        <f t="shared" ref="C15:D15" si="1">C2&lt;6/1440</f>
        <v>1</v>
      </c>
      <c r="D15" t="b">
        <f t="shared" si="1"/>
        <v>1</v>
      </c>
      <c r="E15" t="b">
        <f>E2&lt;6/1440</f>
        <v>1</v>
      </c>
      <c r="F15" t="b">
        <f t="shared" ref="F15:O15" si="2">F2&lt;6/1440</f>
        <v>0</v>
      </c>
      <c r="G15" t="b">
        <f t="shared" si="2"/>
        <v>0</v>
      </c>
      <c r="H15" t="b">
        <f t="shared" si="2"/>
        <v>0</v>
      </c>
      <c r="I15" t="b">
        <f t="shared" si="2"/>
        <v>0</v>
      </c>
      <c r="J15" t="b">
        <f t="shared" si="2"/>
        <v>0</v>
      </c>
      <c r="K15" t="b">
        <f t="shared" si="2"/>
        <v>0</v>
      </c>
      <c r="L15" t="b">
        <f t="shared" si="2"/>
        <v>0</v>
      </c>
      <c r="M15" t="b">
        <f t="shared" si="2"/>
        <v>0</v>
      </c>
      <c r="N15" t="b">
        <f t="shared" si="2"/>
        <v>0</v>
      </c>
      <c r="O15" t="b">
        <f t="shared" si="2"/>
        <v>0</v>
      </c>
      <c r="P15" t="b">
        <f t="shared" ref="P15:Q15" si="3">P2&lt;6/1440</f>
        <v>0</v>
      </c>
      <c r="Q15" t="b">
        <f t="shared" si="3"/>
        <v>0</v>
      </c>
    </row>
    <row r="16" spans="1:20" ht="14.4" x14ac:dyDescent="0.3">
      <c r="A16" s="2">
        <v>1700</v>
      </c>
      <c r="B16" s="2" t="s">
        <v>6</v>
      </c>
      <c r="C16" t="b">
        <f t="shared" ref="C16:D16" si="4">C3&lt;3/1440</f>
        <v>1</v>
      </c>
      <c r="D16" t="b">
        <f t="shared" si="4"/>
        <v>0</v>
      </c>
      <c r="E16" t="b">
        <f t="shared" ref="E16:E21" si="5">E3&lt;3/1440</f>
        <v>0</v>
      </c>
      <c r="F16" t="b">
        <f t="shared" ref="F16:O16" si="6">F3&lt;3/1440</f>
        <v>0</v>
      </c>
      <c r="G16" t="b">
        <f t="shared" si="6"/>
        <v>0</v>
      </c>
      <c r="H16" t="b">
        <f t="shared" si="6"/>
        <v>0</v>
      </c>
      <c r="I16" t="b">
        <f t="shared" si="6"/>
        <v>0</v>
      </c>
      <c r="J16" t="b">
        <f t="shared" si="6"/>
        <v>0</v>
      </c>
      <c r="K16" t="b">
        <f t="shared" si="6"/>
        <v>0</v>
      </c>
      <c r="L16" t="b">
        <f t="shared" si="6"/>
        <v>0</v>
      </c>
      <c r="M16" t="b">
        <f t="shared" si="6"/>
        <v>0</v>
      </c>
      <c r="N16" t="b">
        <f t="shared" si="6"/>
        <v>0</v>
      </c>
      <c r="O16" t="b">
        <f t="shared" si="6"/>
        <v>0</v>
      </c>
      <c r="P16" t="b">
        <f t="shared" ref="P16:Q16" si="7">P3&lt;3/1440</f>
        <v>1</v>
      </c>
      <c r="Q16" t="b">
        <f t="shared" si="7"/>
        <v>1</v>
      </c>
    </row>
    <row r="17" spans="1:18" ht="14.4" x14ac:dyDescent="0.3">
      <c r="A17" s="2">
        <v>7000</v>
      </c>
      <c r="B17" s="2" t="s">
        <v>9</v>
      </c>
      <c r="C17" t="b">
        <f t="shared" ref="C17:D17" si="8">C4&lt;3/1440</f>
        <v>1</v>
      </c>
      <c r="D17" t="b">
        <f t="shared" si="8"/>
        <v>0</v>
      </c>
      <c r="E17" t="b">
        <f t="shared" si="5"/>
        <v>0</v>
      </c>
      <c r="F17" t="b">
        <f t="shared" ref="F17:O17" si="9">F4&lt;3/1440</f>
        <v>1</v>
      </c>
      <c r="G17" t="b">
        <f t="shared" si="9"/>
        <v>1</v>
      </c>
      <c r="H17" t="b">
        <f t="shared" si="9"/>
        <v>1</v>
      </c>
      <c r="I17" t="b">
        <f t="shared" si="9"/>
        <v>1</v>
      </c>
      <c r="J17" t="b">
        <f t="shared" si="9"/>
        <v>1</v>
      </c>
      <c r="K17" t="b">
        <f t="shared" si="9"/>
        <v>1</v>
      </c>
      <c r="L17" t="b">
        <f t="shared" si="9"/>
        <v>1</v>
      </c>
      <c r="M17" t="b">
        <f t="shared" si="9"/>
        <v>1</v>
      </c>
      <c r="N17" t="b">
        <f t="shared" si="9"/>
        <v>1</v>
      </c>
      <c r="O17" t="b">
        <f t="shared" si="9"/>
        <v>1</v>
      </c>
      <c r="P17" t="b">
        <f t="shared" ref="P17:Q17" si="10">P4&lt;3/1440</f>
        <v>1</v>
      </c>
      <c r="Q17" t="b">
        <f t="shared" si="10"/>
        <v>1</v>
      </c>
    </row>
    <row r="18" spans="1:18" ht="14.4" x14ac:dyDescent="0.3">
      <c r="A18" s="2">
        <v>31200</v>
      </c>
      <c r="B18" s="2" t="s">
        <v>11</v>
      </c>
      <c r="C18" t="b">
        <f t="shared" ref="C18:D18" si="11">C5&lt;3/1440</f>
        <v>0</v>
      </c>
      <c r="D18" t="b">
        <f t="shared" si="11"/>
        <v>0</v>
      </c>
      <c r="E18" t="b">
        <f t="shared" si="5"/>
        <v>0</v>
      </c>
      <c r="F18" t="b">
        <f t="shared" ref="F18:O18" si="12">F5&lt;3/1440</f>
        <v>1</v>
      </c>
      <c r="G18" t="b">
        <f t="shared" si="12"/>
        <v>1</v>
      </c>
      <c r="H18" t="b">
        <f t="shared" si="12"/>
        <v>1</v>
      </c>
      <c r="I18" t="b">
        <f t="shared" si="12"/>
        <v>1</v>
      </c>
      <c r="J18" t="b">
        <f t="shared" si="12"/>
        <v>1</v>
      </c>
      <c r="K18" t="b">
        <f t="shared" si="12"/>
        <v>1</v>
      </c>
      <c r="L18" t="b">
        <f t="shared" si="12"/>
        <v>1</v>
      </c>
      <c r="M18" t="b">
        <f t="shared" si="12"/>
        <v>1</v>
      </c>
      <c r="N18" t="b">
        <f t="shared" si="12"/>
        <v>1</v>
      </c>
      <c r="O18" t="b">
        <f t="shared" si="12"/>
        <v>1</v>
      </c>
      <c r="P18" t="b">
        <f t="shared" ref="P18:Q18" si="13">P5&lt;3/1440</f>
        <v>1</v>
      </c>
      <c r="Q18" t="b">
        <f t="shared" si="13"/>
        <v>1</v>
      </c>
    </row>
    <row r="19" spans="1:18" ht="14.4" x14ac:dyDescent="0.3">
      <c r="A19" s="2">
        <v>7900</v>
      </c>
      <c r="B19" s="2" t="s">
        <v>13</v>
      </c>
      <c r="C19" t="b">
        <f t="shared" ref="C19:D19" si="14">C6&lt;3/1440</f>
        <v>1</v>
      </c>
      <c r="D19" t="b">
        <f t="shared" si="14"/>
        <v>1</v>
      </c>
      <c r="E19" t="b">
        <f t="shared" si="5"/>
        <v>1</v>
      </c>
      <c r="F19" t="b">
        <f t="shared" ref="F19:O19" si="15">F6&lt;3/1440</f>
        <v>1</v>
      </c>
      <c r="G19" t="b">
        <f t="shared" si="15"/>
        <v>1</v>
      </c>
      <c r="H19" t="b">
        <f t="shared" si="15"/>
        <v>1</v>
      </c>
      <c r="I19" t="b">
        <f t="shared" si="15"/>
        <v>1</v>
      </c>
      <c r="J19" t="b">
        <f t="shared" si="15"/>
        <v>1</v>
      </c>
      <c r="K19" t="b">
        <f t="shared" si="15"/>
        <v>1</v>
      </c>
      <c r="L19" t="b">
        <f t="shared" si="15"/>
        <v>0</v>
      </c>
      <c r="M19" t="b">
        <f t="shared" si="15"/>
        <v>0</v>
      </c>
      <c r="N19" t="b">
        <f t="shared" si="15"/>
        <v>0</v>
      </c>
      <c r="O19" t="b">
        <f t="shared" si="15"/>
        <v>1</v>
      </c>
      <c r="P19" t="b">
        <f t="shared" ref="P19:Q19" si="16">P6&lt;3/1440</f>
        <v>1</v>
      </c>
      <c r="Q19" t="b">
        <f t="shared" si="16"/>
        <v>1</v>
      </c>
    </row>
    <row r="20" spans="1:18" ht="14.4" x14ac:dyDescent="0.3">
      <c r="A20" s="2">
        <v>31300</v>
      </c>
      <c r="B20" s="2" t="s">
        <v>3</v>
      </c>
      <c r="C20" t="b">
        <f t="shared" ref="C20:D21" si="17">C7&lt;3/1440</f>
        <v>1</v>
      </c>
      <c r="D20" t="b">
        <f t="shared" si="17"/>
        <v>1</v>
      </c>
      <c r="E20" t="b">
        <f t="shared" si="5"/>
        <v>1</v>
      </c>
      <c r="F20" t="b">
        <f t="shared" ref="F20:O21" si="18">F7&lt;3/1440</f>
        <v>1</v>
      </c>
      <c r="G20" t="b">
        <f t="shared" si="18"/>
        <v>1</v>
      </c>
      <c r="H20" t="b">
        <f t="shared" si="18"/>
        <v>1</v>
      </c>
      <c r="I20" t="b">
        <f t="shared" si="18"/>
        <v>1</v>
      </c>
      <c r="J20" t="b">
        <f t="shared" si="18"/>
        <v>1</v>
      </c>
      <c r="K20" t="b">
        <f t="shared" si="18"/>
        <v>1</v>
      </c>
      <c r="L20" t="b">
        <f t="shared" si="18"/>
        <v>1</v>
      </c>
      <c r="M20" t="b">
        <f t="shared" si="18"/>
        <v>1</v>
      </c>
      <c r="N20" t="b">
        <f t="shared" si="18"/>
        <v>1</v>
      </c>
      <c r="O20" t="b">
        <f t="shared" si="18"/>
        <v>1</v>
      </c>
      <c r="P20" t="b">
        <f t="shared" ref="P20:Q21" si="19">P7&lt;3/1440</f>
        <v>1</v>
      </c>
      <c r="Q20" t="b">
        <f t="shared" si="19"/>
        <v>1</v>
      </c>
    </row>
    <row r="21" spans="1:18" ht="14.4" x14ac:dyDescent="0.3">
      <c r="A21" s="2">
        <v>3600</v>
      </c>
      <c r="B21" s="2" t="s">
        <v>16</v>
      </c>
      <c r="C21" t="b">
        <f t="shared" si="17"/>
        <v>0</v>
      </c>
      <c r="D21" t="b">
        <f t="shared" si="17"/>
        <v>0</v>
      </c>
      <c r="E21" t="b">
        <f t="shared" si="5"/>
        <v>0</v>
      </c>
      <c r="F21" t="b">
        <f t="shared" si="18"/>
        <v>1</v>
      </c>
      <c r="G21" t="b">
        <f t="shared" si="18"/>
        <v>1</v>
      </c>
      <c r="H21" t="b">
        <f t="shared" si="18"/>
        <v>1</v>
      </c>
      <c r="I21" t="b">
        <f t="shared" si="18"/>
        <v>1</v>
      </c>
      <c r="J21" t="b">
        <f t="shared" si="18"/>
        <v>1</v>
      </c>
      <c r="K21" t="b">
        <f t="shared" si="18"/>
        <v>1</v>
      </c>
      <c r="L21" t="b">
        <f t="shared" si="18"/>
        <v>1</v>
      </c>
      <c r="M21" t="b">
        <f t="shared" si="18"/>
        <v>1</v>
      </c>
      <c r="N21" t="b">
        <f t="shared" si="18"/>
        <v>1</v>
      </c>
      <c r="O21" t="b">
        <f t="shared" si="18"/>
        <v>1</v>
      </c>
      <c r="P21" t="b">
        <f t="shared" si="19"/>
        <v>1</v>
      </c>
      <c r="Q21" t="b">
        <f t="shared" si="19"/>
        <v>1</v>
      </c>
    </row>
    <row r="22" spans="1:18" ht="14.4" x14ac:dyDescent="0.3">
      <c r="A22" s="2">
        <v>20350</v>
      </c>
      <c r="B22" s="2" t="s">
        <v>18</v>
      </c>
      <c r="C22" t="b">
        <f t="shared" ref="C22:Q22" si="20">C9&lt;3/1440</f>
        <v>1</v>
      </c>
      <c r="D22" t="b">
        <f t="shared" si="20"/>
        <v>1</v>
      </c>
      <c r="E22" t="b">
        <f t="shared" si="20"/>
        <v>1</v>
      </c>
      <c r="F22" t="b">
        <f t="shared" si="20"/>
        <v>1</v>
      </c>
      <c r="G22" t="b">
        <f t="shared" si="20"/>
        <v>1</v>
      </c>
      <c r="H22" t="b">
        <f t="shared" si="20"/>
        <v>1</v>
      </c>
      <c r="I22" t="b">
        <f t="shared" si="20"/>
        <v>1</v>
      </c>
      <c r="J22" t="b">
        <f t="shared" si="20"/>
        <v>1</v>
      </c>
      <c r="K22" t="b">
        <f t="shared" si="20"/>
        <v>1</v>
      </c>
      <c r="L22" t="b">
        <f t="shared" si="20"/>
        <v>1</v>
      </c>
      <c r="M22" t="b">
        <f t="shared" si="20"/>
        <v>1</v>
      </c>
      <c r="N22" t="b">
        <f t="shared" si="20"/>
        <v>1</v>
      </c>
      <c r="O22" t="b">
        <f t="shared" si="20"/>
        <v>1</v>
      </c>
      <c r="P22" t="b">
        <f t="shared" si="20"/>
        <v>0</v>
      </c>
      <c r="Q22" t="b">
        <f t="shared" si="20"/>
        <v>1</v>
      </c>
    </row>
    <row r="23" spans="1:18" ht="14.4" x14ac:dyDescent="0.3">
      <c r="A23" s="2">
        <v>31200</v>
      </c>
      <c r="B23" s="2" t="s">
        <v>18</v>
      </c>
      <c r="C23" t="b">
        <f t="shared" ref="C23:Q23" si="21">C10&lt;3/1440</f>
        <v>0</v>
      </c>
      <c r="D23" t="b">
        <f t="shared" si="21"/>
        <v>0</v>
      </c>
      <c r="E23" t="b">
        <f t="shared" si="21"/>
        <v>0</v>
      </c>
      <c r="F23" t="b">
        <f t="shared" si="21"/>
        <v>1</v>
      </c>
      <c r="G23" t="b">
        <f t="shared" si="21"/>
        <v>1</v>
      </c>
      <c r="H23" t="b">
        <f t="shared" si="21"/>
        <v>1</v>
      </c>
      <c r="I23" t="b">
        <f t="shared" si="21"/>
        <v>1</v>
      </c>
      <c r="J23" t="b">
        <f t="shared" si="21"/>
        <v>1</v>
      </c>
      <c r="K23" t="b">
        <f t="shared" si="21"/>
        <v>1</v>
      </c>
      <c r="L23" t="b">
        <f t="shared" si="21"/>
        <v>1</v>
      </c>
      <c r="M23" t="b">
        <f t="shared" si="21"/>
        <v>1</v>
      </c>
      <c r="N23" t="b">
        <f t="shared" si="21"/>
        <v>1</v>
      </c>
      <c r="O23" t="b">
        <f t="shared" si="21"/>
        <v>1</v>
      </c>
      <c r="P23" t="b">
        <f t="shared" si="21"/>
        <v>1</v>
      </c>
      <c r="Q23" t="b">
        <f t="shared" si="21"/>
        <v>1</v>
      </c>
    </row>
    <row r="24" spans="1:18" ht="14.4" x14ac:dyDescent="0.3">
      <c r="A24" s="2">
        <v>31200</v>
      </c>
      <c r="B24" s="2" t="s">
        <v>24</v>
      </c>
      <c r="C24" t="b">
        <f t="shared" ref="C24:D24" si="22">C10&lt;3/1440</f>
        <v>0</v>
      </c>
      <c r="D24" t="b">
        <f t="shared" si="22"/>
        <v>0</v>
      </c>
      <c r="E24" t="b">
        <f t="shared" ref="E24:O24" si="23">E10&lt;3/1440</f>
        <v>0</v>
      </c>
      <c r="F24" t="b">
        <f t="shared" si="23"/>
        <v>1</v>
      </c>
      <c r="G24" t="b">
        <f t="shared" si="23"/>
        <v>1</v>
      </c>
      <c r="H24" t="b">
        <f t="shared" si="23"/>
        <v>1</v>
      </c>
      <c r="I24" t="b">
        <f t="shared" si="23"/>
        <v>1</v>
      </c>
      <c r="J24" t="b">
        <f t="shared" si="23"/>
        <v>1</v>
      </c>
      <c r="K24" t="b">
        <f t="shared" si="23"/>
        <v>1</v>
      </c>
      <c r="L24" t="b">
        <f t="shared" si="23"/>
        <v>1</v>
      </c>
      <c r="M24" t="b">
        <f t="shared" si="23"/>
        <v>1</v>
      </c>
      <c r="N24" t="b">
        <f t="shared" si="23"/>
        <v>1</v>
      </c>
      <c r="O24" t="b">
        <f t="shared" si="23"/>
        <v>1</v>
      </c>
      <c r="P24" t="b">
        <f t="shared" ref="P24:Q24" si="24">P10&lt;3/1440</f>
        <v>1</v>
      </c>
      <c r="Q24" t="b">
        <f t="shared" si="24"/>
        <v>1</v>
      </c>
    </row>
    <row r="25" spans="1:18" ht="14.4" x14ac:dyDescent="0.3">
      <c r="A25" s="2">
        <v>7900</v>
      </c>
      <c r="B25" s="2" t="s">
        <v>16</v>
      </c>
      <c r="C25" t="b">
        <f t="shared" ref="C25:D25" si="25">C12&lt;3/1440</f>
        <v>1</v>
      </c>
      <c r="D25" t="b">
        <f t="shared" si="25"/>
        <v>1</v>
      </c>
      <c r="E25" t="b">
        <f t="shared" ref="E25:O25" si="26">E12&lt;3/1440</f>
        <v>1</v>
      </c>
      <c r="F25" t="b">
        <f t="shared" si="26"/>
        <v>1</v>
      </c>
      <c r="G25" t="b">
        <f t="shared" si="26"/>
        <v>1</v>
      </c>
      <c r="H25" t="b">
        <f t="shared" si="26"/>
        <v>1</v>
      </c>
      <c r="I25" t="b">
        <f t="shared" si="26"/>
        <v>1</v>
      </c>
      <c r="J25" t="b">
        <f t="shared" si="26"/>
        <v>1</v>
      </c>
      <c r="K25" t="b">
        <f t="shared" si="26"/>
        <v>1</v>
      </c>
      <c r="L25" t="b">
        <f t="shared" si="26"/>
        <v>1</v>
      </c>
      <c r="M25" t="b">
        <f t="shared" si="26"/>
        <v>1</v>
      </c>
      <c r="N25" t="b">
        <f t="shared" si="26"/>
        <v>1</v>
      </c>
      <c r="O25" t="b">
        <f t="shared" si="26"/>
        <v>1</v>
      </c>
      <c r="P25" t="b">
        <f t="shared" ref="P25:Q25" si="27">P12&lt;3/1440</f>
        <v>1</v>
      </c>
      <c r="Q25" t="b">
        <f t="shared" si="27"/>
        <v>1</v>
      </c>
    </row>
    <row r="26" spans="1:18" ht="14.4" x14ac:dyDescent="0.3">
      <c r="A26" t="s">
        <v>31</v>
      </c>
      <c r="C26" s="12">
        <f>COUNTIF(C16:C21,TRUE) / 6</f>
        <v>0.66666666666666663</v>
      </c>
      <c r="D26" s="12">
        <f t="shared" ref="D26:Q26" si="28">COUNTIF(D16:D21,TRUE) / 6</f>
        <v>0.33333333333333331</v>
      </c>
      <c r="E26" s="12">
        <f t="shared" si="28"/>
        <v>0.33333333333333331</v>
      </c>
      <c r="F26" s="12">
        <f t="shared" si="28"/>
        <v>0.83333333333333337</v>
      </c>
      <c r="G26" s="12">
        <f t="shared" si="28"/>
        <v>0.83333333333333337</v>
      </c>
      <c r="H26" s="12">
        <f t="shared" si="28"/>
        <v>0.83333333333333337</v>
      </c>
      <c r="I26" s="12">
        <f t="shared" si="28"/>
        <v>0.83333333333333337</v>
      </c>
      <c r="J26" s="12">
        <f t="shared" si="28"/>
        <v>0.83333333333333337</v>
      </c>
      <c r="K26" s="12">
        <f t="shared" si="28"/>
        <v>0.83333333333333337</v>
      </c>
      <c r="L26" s="12">
        <f t="shared" si="28"/>
        <v>0.66666666666666663</v>
      </c>
      <c r="M26" s="12">
        <f t="shared" si="28"/>
        <v>0.66666666666666663</v>
      </c>
      <c r="N26" s="12">
        <f t="shared" si="28"/>
        <v>0.66666666666666663</v>
      </c>
      <c r="O26" s="12">
        <f t="shared" si="28"/>
        <v>0.83333333333333337</v>
      </c>
      <c r="P26" s="12">
        <f t="shared" si="28"/>
        <v>1</v>
      </c>
      <c r="Q26" s="12">
        <f t="shared" si="28"/>
        <v>1</v>
      </c>
    </row>
    <row r="28" spans="1:18" ht="14.4" x14ac:dyDescent="0.3">
      <c r="A28" t="s">
        <v>33</v>
      </c>
      <c r="C28" s="3">
        <f t="shared" ref="C28:D28" si="29">C2-C1</f>
        <v>-2.0833333333333333E-3</v>
      </c>
      <c r="D28" s="3">
        <f t="shared" si="29"/>
        <v>-2.7777777777777779E-3</v>
      </c>
      <c r="E28" s="3">
        <f t="shared" ref="E28:O28" si="30">E2-E1</f>
        <v>-2.9861111111111108E-3</v>
      </c>
      <c r="F28" s="3">
        <f t="shared" si="30"/>
        <v>5.5324074074074069E-3</v>
      </c>
      <c r="G28" s="3">
        <f t="shared" si="30"/>
        <v>4.8379629629629632E-3</v>
      </c>
      <c r="H28" s="3">
        <f t="shared" si="30"/>
        <v>4.1435185185185238E-3</v>
      </c>
      <c r="I28" s="3">
        <f t="shared" si="30"/>
        <v>3.4490740740740732E-3</v>
      </c>
      <c r="J28" s="3">
        <f t="shared" si="30"/>
        <v>2.7546296296296338E-3</v>
      </c>
      <c r="K28" s="3">
        <f t="shared" si="30"/>
        <v>2.0601851851851831E-3</v>
      </c>
      <c r="L28" s="3">
        <f t="shared" si="30"/>
        <v>1.3657407407407438E-3</v>
      </c>
      <c r="M28" s="3">
        <f t="shared" si="30"/>
        <v>6.712962962962931E-4</v>
      </c>
      <c r="N28" s="3">
        <f t="shared" si="30"/>
        <v>-2.3148148148147141E-5</v>
      </c>
      <c r="O28" s="3">
        <f t="shared" si="30"/>
        <v>-8.7962962962966421E-4</v>
      </c>
      <c r="P28" s="3">
        <f t="shared" ref="P28:Q28" si="31">P2-P1</f>
        <v>3.7037037037037056E-3</v>
      </c>
      <c r="Q28" s="3">
        <f t="shared" si="31"/>
        <v>2.3148148148148182E-4</v>
      </c>
      <c r="R28" t="s">
        <v>61</v>
      </c>
    </row>
    <row r="29" spans="1:18" ht="14.4" x14ac:dyDescent="0.3">
      <c r="A29" t="s">
        <v>33</v>
      </c>
      <c r="C29" s="3">
        <f t="shared" ref="C29:D29" si="32">C1-C2</f>
        <v>2.0833333333333333E-3</v>
      </c>
      <c r="D29" s="3">
        <f t="shared" si="32"/>
        <v>2.7777777777777779E-3</v>
      </c>
      <c r="E29" s="3">
        <f t="shared" ref="E29:O29" si="33">E1-E2</f>
        <v>2.9861111111111108E-3</v>
      </c>
      <c r="F29" s="3">
        <f t="shared" si="33"/>
        <v>-5.5324074074074069E-3</v>
      </c>
      <c r="G29" s="3">
        <f t="shared" si="33"/>
        <v>-4.8379629629629632E-3</v>
      </c>
      <c r="H29" s="3">
        <f t="shared" si="33"/>
        <v>-4.1435185185185238E-3</v>
      </c>
      <c r="I29" s="3">
        <f t="shared" si="33"/>
        <v>-3.4490740740740732E-3</v>
      </c>
      <c r="J29" s="3">
        <f t="shared" si="33"/>
        <v>-2.7546296296296338E-3</v>
      </c>
      <c r="K29" s="3">
        <f t="shared" si="33"/>
        <v>-2.0601851851851831E-3</v>
      </c>
      <c r="L29" s="3">
        <f t="shared" si="33"/>
        <v>-1.3657407407407438E-3</v>
      </c>
      <c r="M29" s="3">
        <f t="shared" si="33"/>
        <v>-6.712962962962931E-4</v>
      </c>
      <c r="N29" s="3">
        <f t="shared" si="33"/>
        <v>2.3148148148147141E-5</v>
      </c>
      <c r="O29" s="3">
        <f t="shared" si="33"/>
        <v>8.7962962962966421E-4</v>
      </c>
      <c r="P29" s="3">
        <f t="shared" ref="P29:Q29" si="34">P1-P2</f>
        <v>-3.7037037037037056E-3</v>
      </c>
      <c r="Q29" s="3">
        <f t="shared" si="34"/>
        <v>-2.3148148148148182E-4</v>
      </c>
      <c r="R29" t="s">
        <v>62</v>
      </c>
    </row>
    <row r="31" spans="1:18" ht="15" customHeight="1" x14ac:dyDescent="0.3">
      <c r="A31" t="s">
        <v>38</v>
      </c>
      <c r="C31" s="12">
        <f>(C20+C21+C23+C24+C25)/5</f>
        <v>0.4</v>
      </c>
      <c r="D31" s="12">
        <f t="shared" ref="D31:Q31" si="35">(D20+D21+D23+D24+D25)/5</f>
        <v>0.4</v>
      </c>
      <c r="E31" s="12">
        <f t="shared" si="35"/>
        <v>0.4</v>
      </c>
      <c r="F31" s="12">
        <f t="shared" si="35"/>
        <v>1</v>
      </c>
      <c r="G31" s="12">
        <f t="shared" si="35"/>
        <v>1</v>
      </c>
      <c r="H31" s="12">
        <f t="shared" si="35"/>
        <v>1</v>
      </c>
      <c r="I31" s="12">
        <f t="shared" si="35"/>
        <v>1</v>
      </c>
      <c r="J31" s="12">
        <f t="shared" si="35"/>
        <v>1</v>
      </c>
      <c r="K31" s="12">
        <f t="shared" si="35"/>
        <v>1</v>
      </c>
      <c r="L31" s="12">
        <f t="shared" si="35"/>
        <v>1</v>
      </c>
      <c r="M31" s="12">
        <f t="shared" si="35"/>
        <v>1</v>
      </c>
      <c r="N31" s="12">
        <f t="shared" si="35"/>
        <v>1</v>
      </c>
      <c r="O31" s="12">
        <f t="shared" si="35"/>
        <v>1</v>
      </c>
      <c r="P31" s="12">
        <f t="shared" si="35"/>
        <v>1</v>
      </c>
      <c r="Q31" s="12">
        <f t="shared" si="35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A0A7-F5C3-4E61-9B6B-F8267A654FC1}">
  <dimension ref="A1:T32"/>
  <sheetViews>
    <sheetView workbookViewId="0">
      <selection activeCell="K7" sqref="K7"/>
    </sheetView>
  </sheetViews>
  <sheetFormatPr defaultRowHeight="15" customHeight="1" x14ac:dyDescent="0.3"/>
  <cols>
    <col min="1" max="17" width="10.6640625" customWidth="1"/>
    <col min="18" max="18" width="9.6640625" customWidth="1"/>
  </cols>
  <sheetData>
    <row r="1" spans="1:20" ht="14.4" x14ac:dyDescent="0.3">
      <c r="A1" s="17" t="s">
        <v>0</v>
      </c>
      <c r="B1" s="18"/>
      <c r="C1" s="19">
        <v>2.0833333333333333E-3</v>
      </c>
      <c r="D1" s="19">
        <v>2.7777777777777779E-3</v>
      </c>
      <c r="E1" s="19">
        <v>3.472222222222222E-3</v>
      </c>
      <c r="F1" s="19">
        <v>4.1666666666666666E-3</v>
      </c>
      <c r="G1" s="19">
        <v>4.8611111111111103E-3</v>
      </c>
      <c r="H1" s="19">
        <v>5.5555555555555497E-3</v>
      </c>
      <c r="I1" s="19">
        <v>6.2500000000000003E-3</v>
      </c>
      <c r="J1" s="19">
        <v>6.9444444444444397E-3</v>
      </c>
      <c r="K1" s="19">
        <v>7.6388888888888904E-3</v>
      </c>
      <c r="L1" s="19">
        <v>8.3333333333333297E-3</v>
      </c>
      <c r="M1" s="19">
        <v>9.0277777777777804E-3</v>
      </c>
      <c r="N1" s="19">
        <v>9.7222222222222206E-3</v>
      </c>
      <c r="O1" s="19">
        <v>1.0416666666666701E-2</v>
      </c>
      <c r="P1" s="19">
        <v>1.3888888888888888E-2</v>
      </c>
      <c r="Q1" s="19">
        <v>1.7361111111111112E-2</v>
      </c>
      <c r="R1" t="s">
        <v>1</v>
      </c>
    </row>
    <row r="2" spans="1:20" ht="14.4" x14ac:dyDescent="0.3">
      <c r="A2" s="20" t="s">
        <v>2</v>
      </c>
      <c r="B2" s="21" t="s">
        <v>3</v>
      </c>
      <c r="C2" s="24">
        <v>0</v>
      </c>
      <c r="D2" s="24">
        <v>0</v>
      </c>
      <c r="E2" s="22">
        <v>4.6296296296296298E-4</v>
      </c>
      <c r="F2" s="22">
        <v>1.6203703703703703E-4</v>
      </c>
      <c r="G2" s="22">
        <v>8.564814814814815E-4</v>
      </c>
      <c r="H2" s="22">
        <v>1.9675925925925924E-3</v>
      </c>
      <c r="I2" s="22">
        <v>2.2453703703703702E-3</v>
      </c>
      <c r="J2" s="22">
        <v>9.6990740740740735E-3</v>
      </c>
      <c r="K2" s="22">
        <v>9.6990740740740735E-3</v>
      </c>
      <c r="L2" s="22">
        <v>9.6990740740740735E-3</v>
      </c>
      <c r="M2" s="22">
        <v>9.6990740740740735E-3</v>
      </c>
      <c r="N2" s="22">
        <v>9.6990740740740735E-3</v>
      </c>
      <c r="O2" s="22">
        <v>9.6990740740740735E-3</v>
      </c>
      <c r="P2" s="22">
        <v>1.7592592592592594E-2</v>
      </c>
      <c r="Q2" s="22">
        <v>1.7592592592592594E-2</v>
      </c>
      <c r="R2" t="s">
        <v>4</v>
      </c>
      <c r="T2" t="s">
        <v>60</v>
      </c>
    </row>
    <row r="3" spans="1:20" ht="14.4" x14ac:dyDescent="0.3">
      <c r="A3" s="2">
        <v>1700</v>
      </c>
      <c r="B3" s="7" t="s">
        <v>6</v>
      </c>
      <c r="C3" s="25">
        <v>8.564814814814815E-4</v>
      </c>
      <c r="D3" s="25">
        <v>1.5740740740740741E-3</v>
      </c>
      <c r="E3" s="3">
        <v>2.2685185185185187E-3</v>
      </c>
      <c r="F3" s="3">
        <v>2.9629629629629628E-3</v>
      </c>
      <c r="G3" s="3">
        <v>1.136574074074074E-2</v>
      </c>
      <c r="H3" s="3">
        <v>1.136574074074074E-2</v>
      </c>
      <c r="I3" s="3">
        <v>1.136574074074074E-2</v>
      </c>
      <c r="J3" s="3">
        <v>3.6805555555555554E-3</v>
      </c>
      <c r="K3" s="3">
        <v>6.1111111111111114E-3</v>
      </c>
      <c r="L3" s="3">
        <v>6.1111111111111114E-3</v>
      </c>
      <c r="M3" s="3">
        <v>1.136574074074074E-2</v>
      </c>
      <c r="N3" s="3">
        <v>6.1111111111111114E-3</v>
      </c>
      <c r="O3" s="3">
        <v>3.7268518518518519E-3</v>
      </c>
      <c r="P3" s="3">
        <v>1.5509259259259259E-3</v>
      </c>
      <c r="Q3" s="3">
        <v>1.5509259259259259E-3</v>
      </c>
      <c r="R3" t="s">
        <v>7</v>
      </c>
    </row>
    <row r="4" spans="1:20" ht="14.4" x14ac:dyDescent="0.3">
      <c r="A4" s="2">
        <v>7000</v>
      </c>
      <c r="B4" s="7" t="s">
        <v>9</v>
      </c>
      <c r="C4" s="25">
        <v>6.9444444444444447E-4</v>
      </c>
      <c r="D4" s="25">
        <v>1.3888888888888889E-3</v>
      </c>
      <c r="E4" s="3">
        <v>2.0833333333333333E-3</v>
      </c>
      <c r="F4" s="3">
        <v>2.7777777777777779E-3</v>
      </c>
      <c r="G4" s="3">
        <v>3.472222222222222E-3</v>
      </c>
      <c r="H4" s="3">
        <v>4.1666666666666666E-3</v>
      </c>
      <c r="I4" s="3">
        <v>4.8611111111111112E-3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1.3657407407407407E-3</v>
      </c>
      <c r="Q4" s="3">
        <v>1.3657407407407407E-3</v>
      </c>
      <c r="R4" t="s">
        <v>10</v>
      </c>
    </row>
    <row r="5" spans="1:20" ht="14.4" x14ac:dyDescent="0.3">
      <c r="A5" s="2">
        <v>31200</v>
      </c>
      <c r="B5" s="7" t="s">
        <v>11</v>
      </c>
      <c r="C5" s="25">
        <v>5.5555555555555556E-4</v>
      </c>
      <c r="D5" s="25">
        <v>1.25E-3</v>
      </c>
      <c r="E5" s="3">
        <v>2.8703703703703703E-3</v>
      </c>
      <c r="F5" s="3">
        <v>2.8703703703703703E-3</v>
      </c>
      <c r="G5" s="3">
        <v>3.3333333333333335E-3</v>
      </c>
      <c r="H5" s="3">
        <v>4.0277777777777777E-3</v>
      </c>
      <c r="I5" s="3">
        <v>4.7222222222222223E-3</v>
      </c>
      <c r="J5" s="3">
        <v>1.0162037037037037E-2</v>
      </c>
      <c r="K5" s="3">
        <v>1.0162037037037037E-2</v>
      </c>
      <c r="L5" s="3">
        <v>1.9675925925925927E-2</v>
      </c>
      <c r="M5" s="3">
        <v>1.9675925925925927E-2</v>
      </c>
      <c r="N5" s="3">
        <v>1.9675925925925927E-2</v>
      </c>
      <c r="O5" s="3">
        <v>1.9675925925925927E-2</v>
      </c>
      <c r="P5" s="3">
        <v>1.9675925925925927E-2</v>
      </c>
      <c r="Q5" s="3">
        <v>1.9675925925925927E-2</v>
      </c>
      <c r="R5" t="s">
        <v>12</v>
      </c>
    </row>
    <row r="6" spans="1:20" ht="14.4" x14ac:dyDescent="0.3">
      <c r="A6" s="2">
        <v>7900</v>
      </c>
      <c r="B6" s="7" t="s">
        <v>13</v>
      </c>
      <c r="C6" s="25">
        <v>0</v>
      </c>
      <c r="D6" s="25">
        <v>3.7037037037037035E-4</v>
      </c>
      <c r="E6" s="3">
        <v>1.0648148148148149E-3</v>
      </c>
      <c r="F6" s="3">
        <v>1.7592592592592592E-3</v>
      </c>
      <c r="G6" s="3">
        <v>2.4537037037037036E-3</v>
      </c>
      <c r="H6" s="3">
        <v>3.1481481481481482E-3</v>
      </c>
      <c r="I6" s="3">
        <v>3.8425925925925928E-3</v>
      </c>
      <c r="J6" s="3">
        <v>4.5370370370370373E-3</v>
      </c>
      <c r="K6" s="3">
        <v>5.2314814814814811E-3</v>
      </c>
      <c r="L6" s="3">
        <v>5.208333333333333E-3</v>
      </c>
      <c r="M6" s="3">
        <v>1.1435185185185185E-2</v>
      </c>
      <c r="N6" s="3">
        <v>2.8009259259259259E-3</v>
      </c>
      <c r="O6" s="3">
        <v>0</v>
      </c>
      <c r="P6" s="3">
        <v>0</v>
      </c>
      <c r="Q6" s="3">
        <v>0</v>
      </c>
      <c r="R6" t="s">
        <v>14</v>
      </c>
    </row>
    <row r="7" spans="1:20" ht="14.4" x14ac:dyDescent="0.3">
      <c r="A7" s="2">
        <v>31300</v>
      </c>
      <c r="B7" s="7" t="s">
        <v>3</v>
      </c>
      <c r="C7" s="25">
        <v>0</v>
      </c>
      <c r="D7" s="25">
        <v>0</v>
      </c>
      <c r="E7" s="3">
        <v>0</v>
      </c>
      <c r="F7" s="3">
        <v>0</v>
      </c>
      <c r="G7" s="3">
        <v>0</v>
      </c>
      <c r="H7" s="3">
        <v>9.2592592592592596E-4</v>
      </c>
      <c r="I7" s="3">
        <v>1.2037037037037038E-3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t="s">
        <v>15</v>
      </c>
    </row>
    <row r="8" spans="1:20" ht="14.4" x14ac:dyDescent="0.3">
      <c r="A8" s="2">
        <v>3600</v>
      </c>
      <c r="B8" s="7" t="s">
        <v>16</v>
      </c>
      <c r="C8" s="25">
        <v>2.3379629629629631E-3</v>
      </c>
      <c r="D8" s="25">
        <v>3.9814814814814817E-3</v>
      </c>
      <c r="E8" s="3">
        <v>4.6759259259259263E-3</v>
      </c>
      <c r="F8" s="3">
        <v>5.37037037037037E-3</v>
      </c>
      <c r="G8" s="3">
        <v>6.0648148148148145E-3</v>
      </c>
      <c r="H8" s="3">
        <v>9.4907407407407408E-4</v>
      </c>
      <c r="I8" s="3">
        <v>9.4907407407407408E-4</v>
      </c>
      <c r="J8" s="3">
        <v>9.4907407407407408E-4</v>
      </c>
      <c r="K8" s="3">
        <v>9.4907407407407408E-4</v>
      </c>
      <c r="L8" s="3">
        <v>9.4907407407407408E-4</v>
      </c>
      <c r="M8" s="3">
        <v>9.4907407407407408E-4</v>
      </c>
      <c r="N8" s="3">
        <v>9.4907407407407408E-4</v>
      </c>
      <c r="O8" s="3">
        <v>9.4907407407407408E-4</v>
      </c>
      <c r="P8" s="3">
        <v>9.4907407407407408E-4</v>
      </c>
      <c r="Q8" s="3">
        <v>9.4907407407407408E-4</v>
      </c>
    </row>
    <row r="9" spans="1:20" ht="14.4" x14ac:dyDescent="0.3">
      <c r="A9" s="2">
        <v>20350</v>
      </c>
      <c r="B9" s="7" t="s">
        <v>18</v>
      </c>
      <c r="C9" s="25">
        <v>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2">
        <v>6.9444444444444447E-4</v>
      </c>
      <c r="P9" s="22">
        <v>0</v>
      </c>
      <c r="Q9" s="22">
        <v>0</v>
      </c>
      <c r="R9" t="s">
        <v>19</v>
      </c>
    </row>
    <row r="10" spans="1:20" ht="14.4" x14ac:dyDescent="0.3">
      <c r="A10" s="4">
        <v>31200</v>
      </c>
      <c r="B10" s="8" t="s">
        <v>18</v>
      </c>
      <c r="C10" s="28">
        <v>2.1990740740740742E-3</v>
      </c>
      <c r="D10" s="28">
        <v>2.8935185185185184E-3</v>
      </c>
      <c r="E10" s="5">
        <v>3.5879629629629629E-3</v>
      </c>
      <c r="F10" s="5">
        <v>4.2824074074074075E-3</v>
      </c>
      <c r="G10" s="5">
        <v>4.9768518518518521E-3</v>
      </c>
      <c r="H10" s="5">
        <v>5.6712962962962967E-3</v>
      </c>
      <c r="I10" s="5">
        <v>6.3657407407407404E-3</v>
      </c>
      <c r="J10" s="5">
        <v>7.060185185185185E-3</v>
      </c>
      <c r="K10" s="5">
        <v>7.7546296296296295E-3</v>
      </c>
      <c r="L10" s="5">
        <v>1.6041666666666666E-2</v>
      </c>
      <c r="M10" s="5">
        <v>1.3703703703703704E-2</v>
      </c>
      <c r="N10" s="5">
        <v>1.5069444444444444E-2</v>
      </c>
      <c r="O10" s="5">
        <v>1.5069444444444444E-2</v>
      </c>
      <c r="P10" s="3">
        <v>1.6203703703703703E-2</v>
      </c>
      <c r="Q10" s="3">
        <v>1.7476851851851851E-2</v>
      </c>
    </row>
    <row r="11" spans="1:20" ht="14.4" x14ac:dyDescent="0.3">
      <c r="A11" s="2">
        <v>31200</v>
      </c>
      <c r="B11" s="7" t="s">
        <v>24</v>
      </c>
      <c r="C11" s="25">
        <v>1.6203703703703703E-4</v>
      </c>
      <c r="D11" s="25">
        <v>2.7777777777777778E-4</v>
      </c>
      <c r="E11" s="3">
        <v>1.8749999999999999E-3</v>
      </c>
      <c r="F11" s="3">
        <v>1.8749999999999999E-3</v>
      </c>
      <c r="G11" s="3">
        <v>2.3379629629629631E-3</v>
      </c>
      <c r="H11" s="3">
        <v>3.0324074074074073E-3</v>
      </c>
      <c r="I11" s="3">
        <v>8.1944444444444452E-3</v>
      </c>
      <c r="J11" s="3">
        <v>9.1666666666666667E-3</v>
      </c>
      <c r="K11" s="3">
        <v>9.1666666666666667E-3</v>
      </c>
      <c r="L11" s="3">
        <v>1.9259259259259261E-2</v>
      </c>
      <c r="M11" s="3">
        <v>1.9259259259259261E-2</v>
      </c>
      <c r="N11" s="3">
        <v>1.9259259259259261E-2</v>
      </c>
      <c r="O11" s="3">
        <v>1.9259259259259261E-2</v>
      </c>
      <c r="P11" s="3">
        <v>1.9259259259259261E-2</v>
      </c>
      <c r="Q11" s="3">
        <v>1.9259259259259261E-2</v>
      </c>
    </row>
    <row r="12" spans="1:20" ht="14.4" x14ac:dyDescent="0.3">
      <c r="A12" s="2">
        <v>7900</v>
      </c>
      <c r="B12" s="7" t="s">
        <v>16</v>
      </c>
      <c r="C12" s="25">
        <v>0</v>
      </c>
      <c r="D12" s="25">
        <v>0</v>
      </c>
      <c r="E12" s="3">
        <v>0</v>
      </c>
      <c r="F12" s="3">
        <v>0</v>
      </c>
      <c r="G12" s="3">
        <v>0</v>
      </c>
      <c r="H12" s="3">
        <v>0</v>
      </c>
      <c r="I12" s="3">
        <v>2.3148148148148147E-5</v>
      </c>
      <c r="J12" s="3">
        <v>7.1759259259259259E-4</v>
      </c>
      <c r="K12" s="3">
        <v>1.4120370370370369E-3</v>
      </c>
      <c r="L12" s="3">
        <v>1.3888888888888889E-3</v>
      </c>
      <c r="M12" s="3">
        <v>7.6157407407407406E-3</v>
      </c>
      <c r="N12" s="3">
        <v>0</v>
      </c>
      <c r="O12" s="3">
        <v>0</v>
      </c>
      <c r="P12" s="3">
        <v>0</v>
      </c>
      <c r="Q12" s="3">
        <v>0</v>
      </c>
    </row>
    <row r="13" spans="1:20" ht="14.4" x14ac:dyDescent="0.3">
      <c r="A13" s="9" t="s">
        <v>25</v>
      </c>
      <c r="B13" s="9"/>
      <c r="C13" s="10">
        <f t="shared" ref="C13:Q13" si="0">SUM(C3:C8)</f>
        <v>4.4444444444444453E-3</v>
      </c>
      <c r="D13" s="10">
        <f t="shared" si="0"/>
        <v>8.5648148148148168E-3</v>
      </c>
      <c r="E13" s="10">
        <f t="shared" si="0"/>
        <v>1.2962962962962964E-2</v>
      </c>
      <c r="F13" s="10">
        <f t="shared" si="0"/>
        <v>1.5740740740740739E-2</v>
      </c>
      <c r="G13" s="10">
        <f t="shared" si="0"/>
        <v>2.6689814814814816E-2</v>
      </c>
      <c r="H13" s="10">
        <f t="shared" si="0"/>
        <v>2.4583333333333339E-2</v>
      </c>
      <c r="I13" s="10">
        <f t="shared" si="0"/>
        <v>2.6944444444444444E-2</v>
      </c>
      <c r="J13" s="10">
        <f t="shared" si="0"/>
        <v>1.9328703703703702E-2</v>
      </c>
      <c r="K13" s="10">
        <f t="shared" si="0"/>
        <v>2.2453703703703705E-2</v>
      </c>
      <c r="L13" s="10">
        <f t="shared" si="0"/>
        <v>3.1944444444444442E-2</v>
      </c>
      <c r="M13" s="10">
        <f t="shared" si="0"/>
        <v>4.342592592592593E-2</v>
      </c>
      <c r="N13" s="10">
        <f t="shared" si="0"/>
        <v>2.9537037037037039E-2</v>
      </c>
      <c r="O13" s="10">
        <f t="shared" si="0"/>
        <v>2.4351851851851854E-2</v>
      </c>
      <c r="P13" s="10">
        <f t="shared" si="0"/>
        <v>2.3541666666666669E-2</v>
      </c>
      <c r="Q13" s="10">
        <f t="shared" si="0"/>
        <v>2.3541666666666669E-2</v>
      </c>
    </row>
    <row r="14" spans="1:20" ht="14.4" x14ac:dyDescent="0.3"/>
    <row r="15" spans="1:20" ht="14.4" x14ac:dyDescent="0.3">
      <c r="A15" s="2" t="s">
        <v>2</v>
      </c>
      <c r="B15" s="2" t="s">
        <v>3</v>
      </c>
      <c r="C15" t="b">
        <f t="shared" ref="C15:D15" si="1">C2&lt;6/1440</f>
        <v>1</v>
      </c>
      <c r="D15" t="b">
        <f t="shared" si="1"/>
        <v>1</v>
      </c>
      <c r="E15" t="b">
        <f>E2&lt;6/1440</f>
        <v>1</v>
      </c>
      <c r="F15" t="b">
        <f t="shared" ref="F15:O15" si="2">F2&lt;6/1440</f>
        <v>1</v>
      </c>
      <c r="G15" t="b">
        <f t="shared" si="2"/>
        <v>1</v>
      </c>
      <c r="H15" t="b">
        <f t="shared" si="2"/>
        <v>1</v>
      </c>
      <c r="I15" t="b">
        <f t="shared" si="2"/>
        <v>1</v>
      </c>
      <c r="J15" t="b">
        <f t="shared" si="2"/>
        <v>0</v>
      </c>
      <c r="K15" t="b">
        <f t="shared" si="2"/>
        <v>0</v>
      </c>
      <c r="L15" t="b">
        <f t="shared" si="2"/>
        <v>0</v>
      </c>
      <c r="M15" t="b">
        <f t="shared" si="2"/>
        <v>0</v>
      </c>
      <c r="N15" t="b">
        <f t="shared" si="2"/>
        <v>0</v>
      </c>
      <c r="O15" t="b">
        <f t="shared" si="2"/>
        <v>0</v>
      </c>
      <c r="P15" t="b">
        <f t="shared" ref="P15:Q15" si="3">P2&lt;6/1440</f>
        <v>0</v>
      </c>
      <c r="Q15" t="b">
        <f t="shared" si="3"/>
        <v>0</v>
      </c>
    </row>
    <row r="16" spans="1:20" ht="14.4" x14ac:dyDescent="0.3">
      <c r="A16" s="2">
        <v>1700</v>
      </c>
      <c r="B16" s="2" t="s">
        <v>6</v>
      </c>
      <c r="C16" t="b">
        <f t="shared" ref="C16:D16" si="4">C3&lt;3/1440</f>
        <v>1</v>
      </c>
      <c r="D16" t="b">
        <f t="shared" si="4"/>
        <v>1</v>
      </c>
      <c r="E16" t="b">
        <f t="shared" ref="E16:O16" si="5">E3&lt;3/1440</f>
        <v>0</v>
      </c>
      <c r="F16" t="b">
        <f t="shared" si="5"/>
        <v>0</v>
      </c>
      <c r="G16" t="b">
        <f t="shared" si="5"/>
        <v>0</v>
      </c>
      <c r="H16" t="b">
        <f t="shared" si="5"/>
        <v>0</v>
      </c>
      <c r="I16" t="b">
        <f t="shared" si="5"/>
        <v>0</v>
      </c>
      <c r="J16" t="b">
        <f t="shared" si="5"/>
        <v>0</v>
      </c>
      <c r="K16" t="b">
        <f t="shared" si="5"/>
        <v>0</v>
      </c>
      <c r="L16" t="b">
        <f t="shared" si="5"/>
        <v>0</v>
      </c>
      <c r="M16" t="b">
        <f t="shared" si="5"/>
        <v>0</v>
      </c>
      <c r="N16" t="b">
        <f t="shared" si="5"/>
        <v>0</v>
      </c>
      <c r="O16" t="b">
        <f t="shared" si="5"/>
        <v>0</v>
      </c>
      <c r="P16" t="b">
        <f t="shared" ref="P16:Q16" si="6">P3&lt;3/1440</f>
        <v>1</v>
      </c>
      <c r="Q16" t="b">
        <f t="shared" si="6"/>
        <v>1</v>
      </c>
    </row>
    <row r="17" spans="1:18" ht="14.4" x14ac:dyDescent="0.3">
      <c r="A17" s="2">
        <v>7000</v>
      </c>
      <c r="B17" s="2" t="s">
        <v>9</v>
      </c>
      <c r="C17" t="b">
        <f t="shared" ref="C17:D17" si="7">C4&lt;3/1440</f>
        <v>1</v>
      </c>
      <c r="D17" t="b">
        <f t="shared" si="7"/>
        <v>1</v>
      </c>
      <c r="E17" t="b">
        <f t="shared" ref="E17:O17" si="8">E4&lt;3/1440</f>
        <v>0</v>
      </c>
      <c r="F17" t="b">
        <f t="shared" si="8"/>
        <v>0</v>
      </c>
      <c r="G17" t="b">
        <f t="shared" si="8"/>
        <v>0</v>
      </c>
      <c r="H17" t="b">
        <f t="shared" si="8"/>
        <v>0</v>
      </c>
      <c r="I17" t="b">
        <f t="shared" si="8"/>
        <v>0</v>
      </c>
      <c r="J17" t="b">
        <f t="shared" si="8"/>
        <v>1</v>
      </c>
      <c r="K17" t="b">
        <f t="shared" si="8"/>
        <v>1</v>
      </c>
      <c r="L17" t="b">
        <f t="shared" si="8"/>
        <v>1</v>
      </c>
      <c r="M17" t="b">
        <f t="shared" si="8"/>
        <v>1</v>
      </c>
      <c r="N17" t="b">
        <f t="shared" si="8"/>
        <v>1</v>
      </c>
      <c r="O17" t="b">
        <f t="shared" si="8"/>
        <v>1</v>
      </c>
      <c r="P17" t="b">
        <f t="shared" ref="P17:Q17" si="9">P4&lt;3/1440</f>
        <v>1</v>
      </c>
      <c r="Q17" t="b">
        <f t="shared" si="9"/>
        <v>1</v>
      </c>
    </row>
    <row r="18" spans="1:18" ht="14.4" x14ac:dyDescent="0.3">
      <c r="A18" s="2">
        <v>31200</v>
      </c>
      <c r="B18" s="2" t="s">
        <v>11</v>
      </c>
      <c r="C18" t="b">
        <f t="shared" ref="C18:D18" si="10">C5&lt;3/1440</f>
        <v>1</v>
      </c>
      <c r="D18" t="b">
        <f t="shared" si="10"/>
        <v>1</v>
      </c>
      <c r="E18" t="b">
        <f t="shared" ref="E18:O18" si="11">E5&lt;3/1440</f>
        <v>0</v>
      </c>
      <c r="F18" t="b">
        <f t="shared" si="11"/>
        <v>0</v>
      </c>
      <c r="G18" t="b">
        <f t="shared" si="11"/>
        <v>0</v>
      </c>
      <c r="H18" t="b">
        <f t="shared" si="11"/>
        <v>0</v>
      </c>
      <c r="I18" t="b">
        <f t="shared" si="11"/>
        <v>0</v>
      </c>
      <c r="J18" t="b">
        <f t="shared" si="11"/>
        <v>0</v>
      </c>
      <c r="K18" t="b">
        <f t="shared" si="11"/>
        <v>0</v>
      </c>
      <c r="L18" t="b">
        <f t="shared" si="11"/>
        <v>0</v>
      </c>
      <c r="M18" t="b">
        <f t="shared" si="11"/>
        <v>0</v>
      </c>
      <c r="N18" t="b">
        <f t="shared" si="11"/>
        <v>0</v>
      </c>
      <c r="O18" t="b">
        <f t="shared" si="11"/>
        <v>0</v>
      </c>
      <c r="P18" t="b">
        <f t="shared" ref="P18:Q18" si="12">P5&lt;3/1440</f>
        <v>0</v>
      </c>
      <c r="Q18" t="b">
        <f t="shared" si="12"/>
        <v>0</v>
      </c>
    </row>
    <row r="19" spans="1:18" ht="14.4" x14ac:dyDescent="0.3">
      <c r="A19" s="2">
        <v>7900</v>
      </c>
      <c r="B19" s="2" t="s">
        <v>13</v>
      </c>
      <c r="C19" t="b">
        <f t="shared" ref="C19:D19" si="13">C6&lt;3/1440</f>
        <v>1</v>
      </c>
      <c r="D19" t="b">
        <f t="shared" si="13"/>
        <v>1</v>
      </c>
      <c r="E19" t="b">
        <f t="shared" ref="E19:O19" si="14">E6&lt;3/1440</f>
        <v>1</v>
      </c>
      <c r="F19" t="b">
        <f t="shared" si="14"/>
        <v>1</v>
      </c>
      <c r="G19" t="b">
        <f t="shared" si="14"/>
        <v>0</v>
      </c>
      <c r="H19" t="b">
        <f t="shared" si="14"/>
        <v>0</v>
      </c>
      <c r="I19" t="b">
        <f t="shared" si="14"/>
        <v>0</v>
      </c>
      <c r="J19" t="b">
        <f t="shared" si="14"/>
        <v>0</v>
      </c>
      <c r="K19" t="b">
        <f t="shared" si="14"/>
        <v>0</v>
      </c>
      <c r="L19" t="b">
        <f t="shared" si="14"/>
        <v>0</v>
      </c>
      <c r="M19" t="b">
        <f t="shared" si="14"/>
        <v>0</v>
      </c>
      <c r="N19" t="b">
        <f t="shared" si="14"/>
        <v>0</v>
      </c>
      <c r="O19" t="b">
        <f t="shared" si="14"/>
        <v>1</v>
      </c>
      <c r="P19" t="b">
        <f t="shared" ref="P19:Q19" si="15">P6&lt;3/1440</f>
        <v>1</v>
      </c>
      <c r="Q19" t="b">
        <f t="shared" si="15"/>
        <v>1</v>
      </c>
    </row>
    <row r="20" spans="1:18" ht="14.4" x14ac:dyDescent="0.3">
      <c r="A20" s="2">
        <v>31300</v>
      </c>
      <c r="B20" s="2" t="s">
        <v>3</v>
      </c>
      <c r="C20" t="b">
        <f t="shared" ref="C20:D21" si="16">C7&lt;3/1440</f>
        <v>1</v>
      </c>
      <c r="D20" t="b">
        <f t="shared" si="16"/>
        <v>1</v>
      </c>
      <c r="E20" t="b">
        <f t="shared" ref="E20:O21" si="17">E7&lt;3/1440</f>
        <v>1</v>
      </c>
      <c r="F20" t="b">
        <f t="shared" si="17"/>
        <v>1</v>
      </c>
      <c r="G20" t="b">
        <f t="shared" si="17"/>
        <v>1</v>
      </c>
      <c r="H20" t="b">
        <f t="shared" si="17"/>
        <v>1</v>
      </c>
      <c r="I20" t="b">
        <f t="shared" si="17"/>
        <v>1</v>
      </c>
      <c r="J20" t="b">
        <f t="shared" si="17"/>
        <v>1</v>
      </c>
      <c r="K20" t="b">
        <f t="shared" si="17"/>
        <v>1</v>
      </c>
      <c r="L20" t="b">
        <f t="shared" si="17"/>
        <v>1</v>
      </c>
      <c r="M20" t="b">
        <f t="shared" si="17"/>
        <v>1</v>
      </c>
      <c r="N20" t="b">
        <f t="shared" si="17"/>
        <v>1</v>
      </c>
      <c r="O20" t="b">
        <f t="shared" si="17"/>
        <v>1</v>
      </c>
      <c r="P20" t="b">
        <f t="shared" ref="P20:Q21" si="18">P7&lt;3/1440</f>
        <v>1</v>
      </c>
      <c r="Q20" t="b">
        <f t="shared" si="18"/>
        <v>1</v>
      </c>
    </row>
    <row r="21" spans="1:18" ht="14.4" x14ac:dyDescent="0.3">
      <c r="A21" s="2">
        <v>3600</v>
      </c>
      <c r="B21" s="2" t="s">
        <v>16</v>
      </c>
      <c r="C21" t="b">
        <f t="shared" si="16"/>
        <v>0</v>
      </c>
      <c r="D21" t="b">
        <f t="shared" si="16"/>
        <v>0</v>
      </c>
      <c r="E21" t="b">
        <f t="shared" si="17"/>
        <v>0</v>
      </c>
      <c r="F21" t="b">
        <f t="shared" si="17"/>
        <v>0</v>
      </c>
      <c r="G21" t="b">
        <f t="shared" si="17"/>
        <v>0</v>
      </c>
      <c r="H21" t="b">
        <f t="shared" si="17"/>
        <v>1</v>
      </c>
      <c r="I21" t="b">
        <f t="shared" si="17"/>
        <v>1</v>
      </c>
      <c r="J21" t="b">
        <f t="shared" si="17"/>
        <v>1</v>
      </c>
      <c r="K21" t="b">
        <f t="shared" si="17"/>
        <v>1</v>
      </c>
      <c r="L21" t="b">
        <f t="shared" si="17"/>
        <v>1</v>
      </c>
      <c r="M21" t="b">
        <f t="shared" si="17"/>
        <v>1</v>
      </c>
      <c r="N21" t="b">
        <f t="shared" si="17"/>
        <v>1</v>
      </c>
      <c r="O21" t="b">
        <f t="shared" si="17"/>
        <v>1</v>
      </c>
      <c r="P21" t="b">
        <f t="shared" si="18"/>
        <v>1</v>
      </c>
      <c r="Q21" t="b">
        <f t="shared" si="18"/>
        <v>1</v>
      </c>
    </row>
    <row r="22" spans="1:18" ht="14.4" x14ac:dyDescent="0.3">
      <c r="A22" s="2">
        <v>20350</v>
      </c>
      <c r="B22" s="2" t="s">
        <v>18</v>
      </c>
      <c r="C22" t="b">
        <f t="shared" ref="C22:Q22" si="19">C9&lt;3/1440</f>
        <v>1</v>
      </c>
      <c r="D22" t="b">
        <f t="shared" si="19"/>
        <v>1</v>
      </c>
      <c r="E22" t="b">
        <f t="shared" si="19"/>
        <v>1</v>
      </c>
      <c r="F22" t="b">
        <f t="shared" si="19"/>
        <v>1</v>
      </c>
      <c r="G22" t="b">
        <f t="shared" si="19"/>
        <v>1</v>
      </c>
      <c r="H22" t="b">
        <f t="shared" si="19"/>
        <v>1</v>
      </c>
      <c r="I22" t="b">
        <f t="shared" si="19"/>
        <v>1</v>
      </c>
      <c r="J22" t="b">
        <f t="shared" si="19"/>
        <v>1</v>
      </c>
      <c r="K22" t="b">
        <f t="shared" si="19"/>
        <v>1</v>
      </c>
      <c r="L22" t="b">
        <f t="shared" si="19"/>
        <v>1</v>
      </c>
      <c r="M22" t="b">
        <f t="shared" si="19"/>
        <v>1</v>
      </c>
      <c r="N22" t="b">
        <f t="shared" si="19"/>
        <v>1</v>
      </c>
      <c r="O22" t="b">
        <f t="shared" si="19"/>
        <v>1</v>
      </c>
      <c r="P22" t="b">
        <f t="shared" si="19"/>
        <v>1</v>
      </c>
      <c r="Q22" t="b">
        <f t="shared" si="19"/>
        <v>1</v>
      </c>
    </row>
    <row r="23" spans="1:18" ht="14.4" x14ac:dyDescent="0.3">
      <c r="A23" s="2">
        <v>31200</v>
      </c>
      <c r="B23" s="2" t="s">
        <v>18</v>
      </c>
      <c r="C23" t="b">
        <f t="shared" ref="C23:Q23" si="20">C10&lt;3/1440</f>
        <v>0</v>
      </c>
      <c r="D23" t="b">
        <f t="shared" si="20"/>
        <v>0</v>
      </c>
      <c r="E23" t="b">
        <f t="shared" si="20"/>
        <v>0</v>
      </c>
      <c r="F23" t="b">
        <f t="shared" si="20"/>
        <v>0</v>
      </c>
      <c r="G23" t="b">
        <f t="shared" si="20"/>
        <v>0</v>
      </c>
      <c r="H23" t="b">
        <f t="shared" si="20"/>
        <v>0</v>
      </c>
      <c r="I23" t="b">
        <f t="shared" si="20"/>
        <v>0</v>
      </c>
      <c r="J23" t="b">
        <f t="shared" si="20"/>
        <v>0</v>
      </c>
      <c r="K23" t="b">
        <f t="shared" si="20"/>
        <v>0</v>
      </c>
      <c r="L23" t="b">
        <f t="shared" si="20"/>
        <v>0</v>
      </c>
      <c r="M23" t="b">
        <f t="shared" si="20"/>
        <v>0</v>
      </c>
      <c r="N23" t="b">
        <f t="shared" si="20"/>
        <v>0</v>
      </c>
      <c r="O23" t="b">
        <f t="shared" si="20"/>
        <v>0</v>
      </c>
      <c r="P23" t="b">
        <f t="shared" si="20"/>
        <v>0</v>
      </c>
      <c r="Q23" t="b">
        <f t="shared" si="20"/>
        <v>0</v>
      </c>
    </row>
    <row r="24" spans="1:18" ht="14.4" x14ac:dyDescent="0.3">
      <c r="A24" s="2">
        <v>31200</v>
      </c>
      <c r="B24" s="2" t="s">
        <v>24</v>
      </c>
      <c r="C24" t="b">
        <f t="shared" ref="C24:D24" si="21">C10&lt;3/1440</f>
        <v>0</v>
      </c>
      <c r="D24" t="b">
        <f t="shared" si="21"/>
        <v>0</v>
      </c>
      <c r="E24" t="b">
        <f t="shared" ref="E24:O24" si="22">E10&lt;3/1440</f>
        <v>0</v>
      </c>
      <c r="F24" t="b">
        <f t="shared" si="22"/>
        <v>0</v>
      </c>
      <c r="G24" t="b">
        <f t="shared" si="22"/>
        <v>0</v>
      </c>
      <c r="H24" t="b">
        <f t="shared" si="22"/>
        <v>0</v>
      </c>
      <c r="I24" t="b">
        <f t="shared" si="22"/>
        <v>0</v>
      </c>
      <c r="J24" t="b">
        <f t="shared" si="22"/>
        <v>0</v>
      </c>
      <c r="K24" t="b">
        <f t="shared" si="22"/>
        <v>0</v>
      </c>
      <c r="L24" t="b">
        <f t="shared" si="22"/>
        <v>0</v>
      </c>
      <c r="M24" t="b">
        <f t="shared" si="22"/>
        <v>0</v>
      </c>
      <c r="N24" t="b">
        <f t="shared" si="22"/>
        <v>0</v>
      </c>
      <c r="O24" t="b">
        <f t="shared" si="22"/>
        <v>0</v>
      </c>
      <c r="P24" t="b">
        <f t="shared" ref="P24:Q24" si="23">P10&lt;3/1440</f>
        <v>0</v>
      </c>
      <c r="Q24" t="b">
        <f t="shared" si="23"/>
        <v>0</v>
      </c>
    </row>
    <row r="25" spans="1:18" ht="14.4" x14ac:dyDescent="0.3">
      <c r="A25" s="2">
        <v>7900</v>
      </c>
      <c r="B25" s="2" t="s">
        <v>16</v>
      </c>
      <c r="C25" t="b">
        <f t="shared" ref="C25:D25" si="24">C12&lt;3/1440</f>
        <v>1</v>
      </c>
      <c r="D25" t="b">
        <f t="shared" si="24"/>
        <v>1</v>
      </c>
      <c r="E25" t="b">
        <f t="shared" ref="E25:O25" si="25">E12&lt;3/1440</f>
        <v>1</v>
      </c>
      <c r="F25" t="b">
        <f t="shared" si="25"/>
        <v>1</v>
      </c>
      <c r="G25" t="b">
        <f t="shared" si="25"/>
        <v>1</v>
      </c>
      <c r="H25" t="b">
        <f t="shared" si="25"/>
        <v>1</v>
      </c>
      <c r="I25" t="b">
        <f t="shared" si="25"/>
        <v>1</v>
      </c>
      <c r="J25" t="b">
        <f t="shared" si="25"/>
        <v>1</v>
      </c>
      <c r="K25" t="b">
        <f t="shared" si="25"/>
        <v>1</v>
      </c>
      <c r="L25" t="b">
        <f t="shared" si="25"/>
        <v>1</v>
      </c>
      <c r="M25" t="b">
        <f t="shared" si="25"/>
        <v>0</v>
      </c>
      <c r="N25" t="b">
        <f t="shared" si="25"/>
        <v>1</v>
      </c>
      <c r="O25" t="b">
        <f t="shared" si="25"/>
        <v>1</v>
      </c>
      <c r="P25" t="b">
        <f t="shared" ref="P25:Q25" si="26">P12&lt;3/1440</f>
        <v>1</v>
      </c>
      <c r="Q25" t="b">
        <f t="shared" si="26"/>
        <v>1</v>
      </c>
    </row>
    <row r="26" spans="1:18" ht="14.4" x14ac:dyDescent="0.3">
      <c r="A26" t="s">
        <v>31</v>
      </c>
      <c r="C26" s="12">
        <f>COUNTIF(C16:C21,TRUE) / 6</f>
        <v>0.83333333333333337</v>
      </c>
      <c r="D26" s="12">
        <f t="shared" ref="D26:Q26" si="27">COUNTIF(D16:D21,TRUE) / 6</f>
        <v>0.83333333333333337</v>
      </c>
      <c r="E26" s="12">
        <f t="shared" si="27"/>
        <v>0.33333333333333331</v>
      </c>
      <c r="F26" s="12">
        <f t="shared" si="27"/>
        <v>0.33333333333333331</v>
      </c>
      <c r="G26" s="12">
        <f t="shared" si="27"/>
        <v>0.16666666666666666</v>
      </c>
      <c r="H26" s="12">
        <f t="shared" si="27"/>
        <v>0.33333333333333331</v>
      </c>
      <c r="I26" s="12">
        <f t="shared" si="27"/>
        <v>0.33333333333333331</v>
      </c>
      <c r="J26" s="12">
        <f t="shared" si="27"/>
        <v>0.5</v>
      </c>
      <c r="K26" s="12">
        <f t="shared" si="27"/>
        <v>0.5</v>
      </c>
      <c r="L26" s="12">
        <f t="shared" si="27"/>
        <v>0.5</v>
      </c>
      <c r="M26" s="12">
        <f t="shared" si="27"/>
        <v>0.5</v>
      </c>
      <c r="N26" s="12">
        <f t="shared" si="27"/>
        <v>0.5</v>
      </c>
      <c r="O26" s="12">
        <f t="shared" si="27"/>
        <v>0.66666666666666663</v>
      </c>
      <c r="P26" s="12">
        <f t="shared" si="27"/>
        <v>0.83333333333333337</v>
      </c>
      <c r="Q26" s="12">
        <f t="shared" si="27"/>
        <v>0.83333333333333337</v>
      </c>
    </row>
    <row r="27" spans="1:18" ht="14.4" x14ac:dyDescent="0.3"/>
    <row r="28" spans="1:18" ht="14.4" x14ac:dyDescent="0.3">
      <c r="A28" t="s">
        <v>33</v>
      </c>
      <c r="C28" s="3">
        <f t="shared" ref="C28:D28" si="28">C2-C1</f>
        <v>-2.0833333333333333E-3</v>
      </c>
      <c r="D28" s="3">
        <f t="shared" si="28"/>
        <v>-2.7777777777777779E-3</v>
      </c>
      <c r="E28" s="3">
        <f t="shared" ref="E28:O28" si="29">E2-E1</f>
        <v>-3.0092592592592593E-3</v>
      </c>
      <c r="F28" s="3">
        <f t="shared" si="29"/>
        <v>-4.0046296296296297E-3</v>
      </c>
      <c r="G28" s="3">
        <f t="shared" si="29"/>
        <v>-4.0046296296296288E-3</v>
      </c>
      <c r="H28" s="3">
        <f t="shared" si="29"/>
        <v>-3.5879629629629573E-3</v>
      </c>
      <c r="I28" s="3">
        <f t="shared" si="29"/>
        <v>-4.0046296296296306E-3</v>
      </c>
      <c r="J28" s="3">
        <f t="shared" si="29"/>
        <v>2.7546296296296338E-3</v>
      </c>
      <c r="K28" s="3">
        <f t="shared" si="29"/>
        <v>2.0601851851851831E-3</v>
      </c>
      <c r="L28" s="3">
        <f t="shared" si="29"/>
        <v>1.3657407407407438E-3</v>
      </c>
      <c r="M28" s="3">
        <f t="shared" si="29"/>
        <v>6.712962962962931E-4</v>
      </c>
      <c r="N28" s="3">
        <f t="shared" si="29"/>
        <v>-2.3148148148147141E-5</v>
      </c>
      <c r="O28" s="3">
        <f t="shared" si="29"/>
        <v>-7.1759259259262728E-4</v>
      </c>
      <c r="P28" s="3">
        <f t="shared" ref="P28:Q28" si="30">P2-P1</f>
        <v>3.7037037037037056E-3</v>
      </c>
      <c r="Q28" s="3">
        <f t="shared" si="30"/>
        <v>2.3148148148148182E-4</v>
      </c>
      <c r="R28" t="s">
        <v>61</v>
      </c>
    </row>
    <row r="29" spans="1:18" ht="14.4" x14ac:dyDescent="0.3">
      <c r="A29" t="s">
        <v>33</v>
      </c>
      <c r="C29" s="3">
        <f t="shared" ref="C29:D29" si="31">C1-C2</f>
        <v>2.0833333333333333E-3</v>
      </c>
      <c r="D29" s="3">
        <f t="shared" si="31"/>
        <v>2.7777777777777779E-3</v>
      </c>
      <c r="E29" s="3">
        <f t="shared" ref="E29:O29" si="32">E1-E2</f>
        <v>3.0092592592592593E-3</v>
      </c>
      <c r="F29" s="3">
        <f t="shared" si="32"/>
        <v>4.0046296296296297E-3</v>
      </c>
      <c r="G29" s="3">
        <f t="shared" si="32"/>
        <v>4.0046296296296288E-3</v>
      </c>
      <c r="H29" s="3">
        <f t="shared" si="32"/>
        <v>3.5879629629629573E-3</v>
      </c>
      <c r="I29" s="3">
        <f t="shared" si="32"/>
        <v>4.0046296296296306E-3</v>
      </c>
      <c r="J29" s="3">
        <f t="shared" si="32"/>
        <v>-2.7546296296296338E-3</v>
      </c>
      <c r="K29" s="3">
        <f t="shared" si="32"/>
        <v>-2.0601851851851831E-3</v>
      </c>
      <c r="L29" s="3">
        <f t="shared" si="32"/>
        <v>-1.3657407407407438E-3</v>
      </c>
      <c r="M29" s="3">
        <f t="shared" si="32"/>
        <v>-6.712962962962931E-4</v>
      </c>
      <c r="N29" s="3">
        <f t="shared" si="32"/>
        <v>2.3148148148147141E-5</v>
      </c>
      <c r="O29" s="3">
        <f t="shared" si="32"/>
        <v>7.1759259259262728E-4</v>
      </c>
      <c r="P29" s="3">
        <f t="shared" ref="P29:Q29" si="33">P1-P2</f>
        <v>-3.7037037037037056E-3</v>
      </c>
      <c r="Q29" s="3">
        <f t="shared" si="33"/>
        <v>-2.3148148148148182E-4</v>
      </c>
      <c r="R29" t="s">
        <v>62</v>
      </c>
    </row>
    <row r="31" spans="1:18" ht="15" customHeight="1" x14ac:dyDescent="0.3">
      <c r="A31" t="s">
        <v>38</v>
      </c>
      <c r="C31" s="12">
        <f>(C20+C21+C23+C24+C25)/5</f>
        <v>0.4</v>
      </c>
      <c r="D31" s="12">
        <f t="shared" ref="D31:Q31" si="34">(D20+D21+D23+D24+D25)/5</f>
        <v>0.4</v>
      </c>
      <c r="E31" s="12">
        <f t="shared" si="34"/>
        <v>0.4</v>
      </c>
      <c r="F31" s="12">
        <f t="shared" si="34"/>
        <v>0.4</v>
      </c>
      <c r="G31" s="12">
        <f t="shared" si="34"/>
        <v>0.4</v>
      </c>
      <c r="H31" s="12">
        <f t="shared" si="34"/>
        <v>0.6</v>
      </c>
      <c r="I31" s="12">
        <f t="shared" si="34"/>
        <v>0.6</v>
      </c>
      <c r="J31" s="12">
        <f t="shared" si="34"/>
        <v>0.6</v>
      </c>
      <c r="K31" s="12">
        <f t="shared" si="34"/>
        <v>0.6</v>
      </c>
      <c r="L31" s="12">
        <f t="shared" si="34"/>
        <v>0.6</v>
      </c>
      <c r="M31" s="12">
        <f t="shared" si="34"/>
        <v>0.4</v>
      </c>
      <c r="N31" s="12">
        <f t="shared" si="34"/>
        <v>0.6</v>
      </c>
      <c r="O31" s="12">
        <f t="shared" si="34"/>
        <v>0.6</v>
      </c>
      <c r="P31" s="12">
        <f t="shared" si="34"/>
        <v>0.6</v>
      </c>
      <c r="Q31" s="12">
        <f t="shared" si="34"/>
        <v>0.6</v>
      </c>
    </row>
    <row r="32" spans="1:18" ht="15" customHeight="1" x14ac:dyDescent="0.3">
      <c r="A32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6442-E5B2-4EB6-9806-EE9F1194E839}">
  <dimension ref="A1:T31"/>
  <sheetViews>
    <sheetView workbookViewId="0">
      <selection activeCell="I3" sqref="I3"/>
    </sheetView>
  </sheetViews>
  <sheetFormatPr defaultRowHeight="14.4" x14ac:dyDescent="0.3"/>
  <cols>
    <col min="1" max="17" width="10.6640625" customWidth="1"/>
  </cols>
  <sheetData>
    <row r="1" spans="1:20" x14ac:dyDescent="0.3">
      <c r="A1" s="17" t="s">
        <v>0</v>
      </c>
      <c r="B1" s="18"/>
      <c r="C1" s="19">
        <v>2.0833333333333333E-3</v>
      </c>
      <c r="D1" s="19">
        <v>2.7777777777777779E-3</v>
      </c>
      <c r="E1" s="19">
        <v>3.472222222222222E-3</v>
      </c>
      <c r="F1" s="19">
        <v>4.1666666666666666E-3</v>
      </c>
      <c r="G1" s="19">
        <v>4.8611111111111103E-3</v>
      </c>
      <c r="H1" s="19">
        <v>5.5555555555555497E-3</v>
      </c>
      <c r="I1" s="19">
        <v>6.2500000000000003E-3</v>
      </c>
      <c r="J1" s="19">
        <v>6.9444444444444397E-3</v>
      </c>
      <c r="K1" s="19">
        <v>7.6388888888888904E-3</v>
      </c>
      <c r="L1" s="19">
        <v>8.3333333333333297E-3</v>
      </c>
      <c r="M1" s="19">
        <v>9.0277777777777804E-3</v>
      </c>
      <c r="N1" s="19">
        <v>9.7222222222222206E-3</v>
      </c>
      <c r="O1" s="19">
        <v>1.0416666666666701E-2</v>
      </c>
      <c r="P1" s="19">
        <v>1.3888888888888888E-2</v>
      </c>
      <c r="Q1" s="19">
        <v>1.7361111111111112E-2</v>
      </c>
      <c r="R1" t="s">
        <v>1</v>
      </c>
    </row>
    <row r="2" spans="1:20" x14ac:dyDescent="0.3">
      <c r="A2" s="20" t="s">
        <v>2</v>
      </c>
      <c r="B2" s="21" t="s">
        <v>3</v>
      </c>
      <c r="C2" s="24">
        <v>0</v>
      </c>
      <c r="D2" s="24">
        <v>0</v>
      </c>
      <c r="E2" s="22">
        <v>0</v>
      </c>
      <c r="F2" s="22">
        <v>0</v>
      </c>
      <c r="G2" s="22">
        <v>4.1666666666666669E-4</v>
      </c>
      <c r="H2" s="22">
        <v>4.6296296296296298E-4</v>
      </c>
      <c r="I2" s="22">
        <v>9.2592592592592596E-4</v>
      </c>
      <c r="J2" s="22">
        <v>9.6990740740740735E-3</v>
      </c>
      <c r="K2" s="22">
        <v>9.6990740740740735E-3</v>
      </c>
      <c r="L2" s="22">
        <v>9.6990740740740735E-3</v>
      </c>
      <c r="M2" s="22">
        <v>9.6990740740740735E-3</v>
      </c>
      <c r="N2" s="22">
        <v>9.6990740740740735E-3</v>
      </c>
      <c r="O2" s="22">
        <v>9.6990740740740735E-3</v>
      </c>
      <c r="P2" s="22">
        <v>1.1435185185185185E-2</v>
      </c>
      <c r="Q2" s="22">
        <v>1.7592592592592594E-2</v>
      </c>
      <c r="R2" t="s">
        <v>4</v>
      </c>
      <c r="T2" t="s">
        <v>60</v>
      </c>
    </row>
    <row r="3" spans="1:20" x14ac:dyDescent="0.3">
      <c r="A3" s="2">
        <v>1700</v>
      </c>
      <c r="B3" s="7" t="s">
        <v>6</v>
      </c>
      <c r="C3" s="25">
        <v>0</v>
      </c>
      <c r="D3" s="25">
        <v>1.1574074074074075E-4</v>
      </c>
      <c r="E3" s="3">
        <v>8.3333333333333339E-4</v>
      </c>
      <c r="F3" s="3">
        <v>1.6435185185185185E-3</v>
      </c>
      <c r="G3" s="3">
        <v>3.2175925925925926E-3</v>
      </c>
      <c r="H3" s="3">
        <v>3.2638888888888891E-3</v>
      </c>
      <c r="I3" s="3">
        <v>1.136574074074074E-2</v>
      </c>
      <c r="J3" s="3">
        <v>3.7268518518518519E-3</v>
      </c>
      <c r="K3" s="3">
        <v>3.7268518518518519E-3</v>
      </c>
      <c r="L3" s="3">
        <v>6.1111111111111114E-3</v>
      </c>
      <c r="M3" s="3">
        <v>6.1111111111111114E-3</v>
      </c>
      <c r="N3" s="3">
        <v>3.7268518518518519E-3</v>
      </c>
      <c r="O3" s="3">
        <v>3.7268518518518519E-3</v>
      </c>
      <c r="P3" s="3">
        <v>6.2037037037037035E-3</v>
      </c>
      <c r="Q3" s="3">
        <v>1.5509259259259259E-3</v>
      </c>
      <c r="R3" t="s">
        <v>7</v>
      </c>
    </row>
    <row r="4" spans="1:20" x14ac:dyDescent="0.3">
      <c r="A4" s="2">
        <v>7000</v>
      </c>
      <c r="B4" s="7" t="s">
        <v>9</v>
      </c>
      <c r="C4" s="25">
        <v>0</v>
      </c>
      <c r="D4" s="25">
        <v>6.9444444444444444E-5</v>
      </c>
      <c r="E4" s="3">
        <v>7.6388888888888893E-4</v>
      </c>
      <c r="F4" s="3">
        <v>1.4583333333333334E-3</v>
      </c>
      <c r="G4" s="3">
        <v>3.0324074074074073E-3</v>
      </c>
      <c r="H4" s="3">
        <v>3.0787037037037037E-3</v>
      </c>
      <c r="I4" s="3">
        <v>3.5416666666666665E-3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1.3657407407407407E-3</v>
      </c>
      <c r="Q4" s="3">
        <v>1.3657407407407407E-3</v>
      </c>
      <c r="R4" t="s">
        <v>10</v>
      </c>
    </row>
    <row r="5" spans="1:20" x14ac:dyDescent="0.3">
      <c r="A5" s="2">
        <v>31200</v>
      </c>
      <c r="B5" s="7" t="s">
        <v>11</v>
      </c>
      <c r="C5" s="25">
        <v>5.5555555555555556E-4</v>
      </c>
      <c r="D5" s="25">
        <v>1.25E-3</v>
      </c>
      <c r="E5" s="3">
        <v>2.8703703703703703E-3</v>
      </c>
      <c r="F5" s="3">
        <v>2.8703703703703703E-3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t="s">
        <v>12</v>
      </c>
    </row>
    <row r="6" spans="1:20" x14ac:dyDescent="0.3">
      <c r="A6" s="2">
        <v>7900</v>
      </c>
      <c r="B6" s="7" t="s">
        <v>13</v>
      </c>
      <c r="C6" s="25">
        <v>0</v>
      </c>
      <c r="D6" s="25">
        <v>3.7037037037037035E-4</v>
      </c>
      <c r="E6" s="3">
        <v>1.0648148148148149E-3</v>
      </c>
      <c r="F6" s="3">
        <v>1.7592592592592592E-3</v>
      </c>
      <c r="G6" s="3">
        <v>1.2962962962962963E-3</v>
      </c>
      <c r="H6" s="3">
        <v>1.3425925925925925E-3</v>
      </c>
      <c r="I6" s="3">
        <v>1.8055555555555555E-3</v>
      </c>
      <c r="J6" s="3">
        <v>2.5000000000000001E-3</v>
      </c>
      <c r="K6" s="3">
        <v>3.1944444444444446E-3</v>
      </c>
      <c r="L6" s="3">
        <v>3.8888888888888888E-3</v>
      </c>
      <c r="M6" s="3">
        <v>4.5833333333333334E-3</v>
      </c>
      <c r="N6" s="3">
        <v>1.5740740740740741E-3</v>
      </c>
      <c r="O6" s="3">
        <v>2.1759259259259258E-3</v>
      </c>
      <c r="P6" s="3">
        <v>0</v>
      </c>
      <c r="Q6" s="3">
        <v>0</v>
      </c>
      <c r="R6" t="s">
        <v>14</v>
      </c>
    </row>
    <row r="7" spans="1:20" x14ac:dyDescent="0.3">
      <c r="A7" s="2">
        <v>31300</v>
      </c>
      <c r="B7" s="7" t="s">
        <v>3</v>
      </c>
      <c r="C7" s="25">
        <v>0</v>
      </c>
      <c r="D7" s="25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t="s">
        <v>15</v>
      </c>
    </row>
    <row r="8" spans="1:20" x14ac:dyDescent="0.3">
      <c r="A8" s="2">
        <v>3600</v>
      </c>
      <c r="B8" s="7" t="s">
        <v>16</v>
      </c>
      <c r="C8" s="25">
        <v>1.0648148148148149E-3</v>
      </c>
      <c r="D8" s="25">
        <v>1.736111111111111E-3</v>
      </c>
      <c r="E8" s="3">
        <v>2.4074074074074076E-3</v>
      </c>
      <c r="F8" s="3">
        <v>4.0509259259259257E-3</v>
      </c>
      <c r="G8" s="3">
        <v>5.6249999999999998E-3</v>
      </c>
      <c r="H8" s="3">
        <v>5.6712962962962967E-3</v>
      </c>
      <c r="I8" s="3">
        <v>6.1342592592592594E-3</v>
      </c>
      <c r="J8" s="3">
        <v>9.4907407407407408E-4</v>
      </c>
      <c r="K8" s="3">
        <v>9.4907407407407408E-4</v>
      </c>
      <c r="L8" s="3">
        <v>9.4907407407407408E-4</v>
      </c>
      <c r="M8" s="3">
        <v>9.4907407407407408E-4</v>
      </c>
      <c r="N8" s="3">
        <v>9.4907407407407408E-4</v>
      </c>
      <c r="O8" s="3">
        <v>9.4907407407407408E-4</v>
      </c>
      <c r="P8" s="3">
        <v>9.4907407407407408E-4</v>
      </c>
      <c r="Q8" s="3">
        <v>9.4907407407407408E-4</v>
      </c>
    </row>
    <row r="9" spans="1:20" x14ac:dyDescent="0.3">
      <c r="A9" s="2">
        <v>20350</v>
      </c>
      <c r="B9" s="7" t="s">
        <v>18</v>
      </c>
      <c r="C9" s="24">
        <v>0</v>
      </c>
      <c r="D9" s="24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6.9444444444444447E-4</v>
      </c>
      <c r="P9" s="22">
        <v>0</v>
      </c>
      <c r="Q9" s="22">
        <v>0</v>
      </c>
      <c r="R9" t="s">
        <v>19</v>
      </c>
    </row>
    <row r="10" spans="1:20" x14ac:dyDescent="0.3">
      <c r="A10" s="4">
        <v>31200</v>
      </c>
      <c r="B10" s="4" t="s">
        <v>18</v>
      </c>
      <c r="C10" s="26">
        <v>2.1990740740740742E-3</v>
      </c>
      <c r="D10" s="25">
        <v>2.8935185185185184E-3</v>
      </c>
      <c r="E10" s="3">
        <v>3.5879629629629629E-3</v>
      </c>
      <c r="F10" s="3">
        <v>4.2824074074074075E-3</v>
      </c>
      <c r="G10" s="3">
        <v>1.1574074074074075E-4</v>
      </c>
      <c r="H10" s="3">
        <v>1.1574074074074075E-4</v>
      </c>
      <c r="I10" s="3">
        <v>1.1574074074074075E-4</v>
      </c>
      <c r="J10" s="3">
        <v>1.1574074074074075E-4</v>
      </c>
      <c r="K10" s="3">
        <v>1.1574074074074075E-4</v>
      </c>
      <c r="L10" s="3">
        <v>1.1574074074074075E-4</v>
      </c>
      <c r="M10" s="3">
        <v>1.1574074074074075E-4</v>
      </c>
      <c r="N10" s="3">
        <v>1.1574074074074075E-4</v>
      </c>
      <c r="O10" s="3">
        <v>1.1574074074074075E-4</v>
      </c>
      <c r="P10" s="3">
        <v>1.1574074074074075E-4</v>
      </c>
      <c r="Q10" s="3">
        <v>1.1574074074074075E-4</v>
      </c>
    </row>
    <row r="11" spans="1:20" x14ac:dyDescent="0.3">
      <c r="A11" s="2">
        <v>31200</v>
      </c>
      <c r="B11" s="2" t="s">
        <v>24</v>
      </c>
      <c r="C11" s="26">
        <v>1.6203703703703703E-4</v>
      </c>
      <c r="D11" s="25">
        <v>2.7777777777777778E-4</v>
      </c>
      <c r="E11" s="3">
        <v>1.8749999999999999E-3</v>
      </c>
      <c r="F11" s="3">
        <v>1.8749999999999999E-3</v>
      </c>
      <c r="G11" s="3">
        <v>1.6203703703703703E-4</v>
      </c>
      <c r="H11" s="3">
        <v>1.6203703703703703E-4</v>
      </c>
      <c r="I11" s="3">
        <v>1.6203703703703703E-4</v>
      </c>
      <c r="J11" s="3">
        <v>1.6203703703703703E-4</v>
      </c>
      <c r="K11" s="3">
        <v>1.6203703703703703E-4</v>
      </c>
      <c r="L11" s="3">
        <v>1.6203703703703703E-4</v>
      </c>
      <c r="M11" s="3">
        <v>1.6203703703703703E-4</v>
      </c>
      <c r="N11" s="3">
        <v>1.6203703703703703E-4</v>
      </c>
      <c r="O11" s="3">
        <v>1.6203703703703703E-4</v>
      </c>
      <c r="P11" s="3">
        <v>1.6203703703703703E-4</v>
      </c>
      <c r="Q11" s="3">
        <v>1.6203703703703703E-4</v>
      </c>
    </row>
    <row r="12" spans="1:20" x14ac:dyDescent="0.3">
      <c r="A12" s="2">
        <v>7900</v>
      </c>
      <c r="B12" s="7" t="s">
        <v>16</v>
      </c>
      <c r="C12" s="25">
        <v>0</v>
      </c>
      <c r="D12" s="25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6.9444444444444444E-5</v>
      </c>
      <c r="M12" s="3">
        <v>7.6388888888888893E-4</v>
      </c>
      <c r="N12" s="3">
        <v>0</v>
      </c>
      <c r="O12" s="3">
        <v>0</v>
      </c>
      <c r="P12" s="22">
        <v>0</v>
      </c>
      <c r="Q12" s="22">
        <v>0</v>
      </c>
    </row>
    <row r="13" spans="1:20" x14ac:dyDescent="0.3">
      <c r="A13" s="9" t="s">
        <v>25</v>
      </c>
      <c r="B13" s="9"/>
      <c r="C13" s="10">
        <f t="shared" ref="C13:Q13" si="0">SUM(C3:C8)</f>
        <v>1.6203703703703705E-3</v>
      </c>
      <c r="D13" s="10">
        <f t="shared" si="0"/>
        <v>3.5416666666666665E-3</v>
      </c>
      <c r="E13" s="10">
        <f t="shared" si="0"/>
        <v>7.9398148148148162E-3</v>
      </c>
      <c r="F13" s="10">
        <f t="shared" si="0"/>
        <v>1.1782407407407408E-2</v>
      </c>
      <c r="G13" s="10">
        <f t="shared" si="0"/>
        <v>1.3171296296296296E-2</v>
      </c>
      <c r="H13" s="10">
        <f t="shared" si="0"/>
        <v>1.3356481481481481E-2</v>
      </c>
      <c r="I13" s="10">
        <f t="shared" si="0"/>
        <v>2.2847222222222224E-2</v>
      </c>
      <c r="J13" s="10">
        <f t="shared" si="0"/>
        <v>7.1759259259259259E-3</v>
      </c>
      <c r="K13" s="10">
        <f t="shared" si="0"/>
        <v>7.8703703703703713E-3</v>
      </c>
      <c r="L13" s="10">
        <f t="shared" si="0"/>
        <v>1.0949074074074075E-2</v>
      </c>
      <c r="M13" s="10">
        <f t="shared" si="0"/>
        <v>1.1643518518518518E-2</v>
      </c>
      <c r="N13" s="10">
        <f t="shared" si="0"/>
        <v>6.2500000000000003E-3</v>
      </c>
      <c r="O13" s="10">
        <f t="shared" si="0"/>
        <v>6.851851851851852E-3</v>
      </c>
      <c r="P13" s="10">
        <f t="shared" si="0"/>
        <v>8.518518518518519E-3</v>
      </c>
      <c r="Q13" s="10">
        <f t="shared" si="0"/>
        <v>3.8657407407407403E-3</v>
      </c>
    </row>
    <row r="15" spans="1:20" x14ac:dyDescent="0.3">
      <c r="A15" s="2" t="s">
        <v>2</v>
      </c>
      <c r="B15" s="2" t="s">
        <v>3</v>
      </c>
      <c r="C15" t="b">
        <f t="shared" ref="C15:D15" si="1">C2&lt;6/1440</f>
        <v>1</v>
      </c>
      <c r="D15" t="b">
        <f t="shared" si="1"/>
        <v>1</v>
      </c>
      <c r="E15" t="b">
        <f>E2&lt;6/1440</f>
        <v>1</v>
      </c>
      <c r="F15" t="b">
        <f t="shared" ref="F15:O15" si="2">F2&lt;6/1440</f>
        <v>1</v>
      </c>
      <c r="G15" t="b">
        <f t="shared" si="2"/>
        <v>1</v>
      </c>
      <c r="H15" t="b">
        <f t="shared" si="2"/>
        <v>1</v>
      </c>
      <c r="I15" t="b">
        <f t="shared" si="2"/>
        <v>1</v>
      </c>
      <c r="J15" t="b">
        <f t="shared" si="2"/>
        <v>0</v>
      </c>
      <c r="K15" t="b">
        <f t="shared" si="2"/>
        <v>0</v>
      </c>
      <c r="L15" t="b">
        <f t="shared" si="2"/>
        <v>0</v>
      </c>
      <c r="M15" t="b">
        <f t="shared" si="2"/>
        <v>0</v>
      </c>
      <c r="N15" t="b">
        <f t="shared" si="2"/>
        <v>0</v>
      </c>
      <c r="O15" t="b">
        <f t="shared" si="2"/>
        <v>0</v>
      </c>
      <c r="P15" t="b">
        <f t="shared" ref="P15:Q15" si="3">P2&lt;6/1440</f>
        <v>0</v>
      </c>
      <c r="Q15" t="b">
        <f t="shared" si="3"/>
        <v>0</v>
      </c>
    </row>
    <row r="16" spans="1:20" x14ac:dyDescent="0.3">
      <c r="A16" s="2">
        <v>1700</v>
      </c>
      <c r="B16" s="2" t="s">
        <v>6</v>
      </c>
      <c r="C16" t="b">
        <f t="shared" ref="C16:D16" si="4">C3&lt;3/1440</f>
        <v>1</v>
      </c>
      <c r="D16" t="b">
        <f t="shared" si="4"/>
        <v>1</v>
      </c>
      <c r="E16" t="b">
        <f>E3&lt;3/1440</f>
        <v>1</v>
      </c>
      <c r="F16" t="b">
        <f t="shared" ref="F16:O16" si="5">F3&lt;3/1440</f>
        <v>1</v>
      </c>
      <c r="G16" t="b">
        <f t="shared" si="5"/>
        <v>0</v>
      </c>
      <c r="H16" t="b">
        <f t="shared" si="5"/>
        <v>0</v>
      </c>
      <c r="I16" t="b">
        <f t="shared" si="5"/>
        <v>0</v>
      </c>
      <c r="J16" t="b">
        <f t="shared" si="5"/>
        <v>0</v>
      </c>
      <c r="K16" t="b">
        <f t="shared" si="5"/>
        <v>0</v>
      </c>
      <c r="L16" t="b">
        <f t="shared" si="5"/>
        <v>0</v>
      </c>
      <c r="M16" t="b">
        <f t="shared" si="5"/>
        <v>0</v>
      </c>
      <c r="N16" t="b">
        <f t="shared" si="5"/>
        <v>0</v>
      </c>
      <c r="O16" t="b">
        <f t="shared" si="5"/>
        <v>0</v>
      </c>
      <c r="P16" t="b">
        <f t="shared" ref="P16:Q16" si="6">P3&lt;3/1440</f>
        <v>0</v>
      </c>
      <c r="Q16" t="b">
        <f t="shared" si="6"/>
        <v>1</v>
      </c>
    </row>
    <row r="17" spans="1:18" x14ac:dyDescent="0.3">
      <c r="A17" s="2">
        <v>7000</v>
      </c>
      <c r="B17" s="2" t="s">
        <v>9</v>
      </c>
      <c r="C17" t="b">
        <f t="shared" ref="C17:D17" si="7">C4&lt;3/1440</f>
        <v>1</v>
      </c>
      <c r="D17" t="b">
        <f t="shared" si="7"/>
        <v>1</v>
      </c>
      <c r="E17" t="b">
        <f t="shared" ref="E17:O21" si="8">E4&lt;3/1440</f>
        <v>1</v>
      </c>
      <c r="F17" t="b">
        <f t="shared" si="8"/>
        <v>1</v>
      </c>
      <c r="G17" t="b">
        <f t="shared" si="8"/>
        <v>0</v>
      </c>
      <c r="H17" t="b">
        <f t="shared" si="8"/>
        <v>0</v>
      </c>
      <c r="I17" t="b">
        <f t="shared" si="8"/>
        <v>0</v>
      </c>
      <c r="J17" t="b">
        <f t="shared" si="8"/>
        <v>1</v>
      </c>
      <c r="K17" t="b">
        <f>K4&lt;3/1440</f>
        <v>1</v>
      </c>
      <c r="L17" t="b">
        <f t="shared" si="8"/>
        <v>1</v>
      </c>
      <c r="M17" t="b">
        <f t="shared" si="8"/>
        <v>1</v>
      </c>
      <c r="N17" t="b">
        <f t="shared" si="8"/>
        <v>1</v>
      </c>
      <c r="O17" t="b">
        <f t="shared" si="8"/>
        <v>1</v>
      </c>
      <c r="P17" t="b">
        <f t="shared" ref="P17:Q17" si="9">P4&lt;3/1440</f>
        <v>1</v>
      </c>
      <c r="Q17" t="b">
        <f t="shared" si="9"/>
        <v>1</v>
      </c>
    </row>
    <row r="18" spans="1:18" x14ac:dyDescent="0.3">
      <c r="A18" s="2">
        <v>31200</v>
      </c>
      <c r="B18" s="2" t="s">
        <v>11</v>
      </c>
      <c r="C18" t="b">
        <f t="shared" ref="C18:D18" si="10">C5&lt;3/1440</f>
        <v>1</v>
      </c>
      <c r="D18" t="b">
        <f t="shared" si="10"/>
        <v>1</v>
      </c>
      <c r="E18" t="b">
        <f t="shared" si="8"/>
        <v>0</v>
      </c>
      <c r="F18" t="b">
        <f t="shared" si="8"/>
        <v>0</v>
      </c>
      <c r="G18" t="b">
        <f t="shared" si="8"/>
        <v>1</v>
      </c>
      <c r="H18" t="b">
        <f t="shared" si="8"/>
        <v>1</v>
      </c>
      <c r="I18" t="b">
        <f t="shared" si="8"/>
        <v>1</v>
      </c>
      <c r="J18" t="b">
        <f t="shared" si="8"/>
        <v>1</v>
      </c>
      <c r="K18" t="b">
        <f t="shared" si="8"/>
        <v>1</v>
      </c>
      <c r="L18" t="b">
        <f t="shared" si="8"/>
        <v>1</v>
      </c>
      <c r="M18" t="b">
        <f t="shared" si="8"/>
        <v>1</v>
      </c>
      <c r="N18" t="b">
        <f t="shared" si="8"/>
        <v>1</v>
      </c>
      <c r="O18" t="b">
        <f t="shared" si="8"/>
        <v>1</v>
      </c>
      <c r="P18" t="b">
        <f t="shared" ref="P18:Q18" si="11">P5&lt;3/1440</f>
        <v>1</v>
      </c>
      <c r="Q18" t="b">
        <f t="shared" si="11"/>
        <v>1</v>
      </c>
    </row>
    <row r="19" spans="1:18" x14ac:dyDescent="0.3">
      <c r="A19" s="2">
        <v>7900</v>
      </c>
      <c r="B19" s="2" t="s">
        <v>13</v>
      </c>
      <c r="C19" t="b">
        <f t="shared" ref="C19:D19" si="12">C6&lt;3/1440</f>
        <v>1</v>
      </c>
      <c r="D19" t="b">
        <f t="shared" si="12"/>
        <v>1</v>
      </c>
      <c r="E19" t="b">
        <f t="shared" si="8"/>
        <v>1</v>
      </c>
      <c r="F19" t="b">
        <f t="shared" si="8"/>
        <v>1</v>
      </c>
      <c r="G19" t="b">
        <f t="shared" si="8"/>
        <v>1</v>
      </c>
      <c r="H19" t="b">
        <f t="shared" si="8"/>
        <v>1</v>
      </c>
      <c r="I19" t="b">
        <f t="shared" si="8"/>
        <v>1</v>
      </c>
      <c r="J19" t="b">
        <f t="shared" si="8"/>
        <v>0</v>
      </c>
      <c r="K19" t="b">
        <f t="shared" si="8"/>
        <v>0</v>
      </c>
      <c r="L19" t="b">
        <f t="shared" si="8"/>
        <v>0</v>
      </c>
      <c r="M19" t="b">
        <f t="shared" si="8"/>
        <v>0</v>
      </c>
      <c r="N19" t="b">
        <f t="shared" si="8"/>
        <v>1</v>
      </c>
      <c r="O19" t="b">
        <f t="shared" si="8"/>
        <v>0</v>
      </c>
      <c r="P19" t="b">
        <f t="shared" ref="P19:Q19" si="13">P6&lt;3/1440</f>
        <v>1</v>
      </c>
      <c r="Q19" t="b">
        <f t="shared" si="13"/>
        <v>1</v>
      </c>
    </row>
    <row r="20" spans="1:18" x14ac:dyDescent="0.3">
      <c r="A20" s="2">
        <v>31300</v>
      </c>
      <c r="B20" s="2" t="s">
        <v>3</v>
      </c>
      <c r="C20" t="b">
        <f t="shared" ref="C20:D21" si="14">C7&lt;3/1440</f>
        <v>1</v>
      </c>
      <c r="D20" t="b">
        <f t="shared" si="14"/>
        <v>1</v>
      </c>
      <c r="E20" t="b">
        <f t="shared" si="8"/>
        <v>1</v>
      </c>
      <c r="F20" t="b">
        <f t="shared" si="8"/>
        <v>1</v>
      </c>
      <c r="G20" t="b">
        <f t="shared" si="8"/>
        <v>1</v>
      </c>
      <c r="H20" t="b">
        <f t="shared" si="8"/>
        <v>1</v>
      </c>
      <c r="I20" t="b">
        <f t="shared" si="8"/>
        <v>1</v>
      </c>
      <c r="J20" t="b">
        <f t="shared" si="8"/>
        <v>1</v>
      </c>
      <c r="K20" t="b">
        <f t="shared" si="8"/>
        <v>1</v>
      </c>
      <c r="L20" t="b">
        <f t="shared" si="8"/>
        <v>1</v>
      </c>
      <c r="M20" t="b">
        <f t="shared" si="8"/>
        <v>1</v>
      </c>
      <c r="N20" t="b">
        <f t="shared" si="8"/>
        <v>1</v>
      </c>
      <c r="O20" t="b">
        <f t="shared" si="8"/>
        <v>1</v>
      </c>
      <c r="P20" t="b">
        <f t="shared" ref="P20:Q21" si="15">P7&lt;3/1440</f>
        <v>1</v>
      </c>
      <c r="Q20" t="b">
        <f t="shared" si="15"/>
        <v>1</v>
      </c>
    </row>
    <row r="21" spans="1:18" x14ac:dyDescent="0.3">
      <c r="A21" s="2">
        <v>3600</v>
      </c>
      <c r="B21" s="2" t="s">
        <v>16</v>
      </c>
      <c r="C21" t="b">
        <f t="shared" si="14"/>
        <v>1</v>
      </c>
      <c r="D21" t="b">
        <f t="shared" si="14"/>
        <v>1</v>
      </c>
      <c r="E21" t="b">
        <f t="shared" si="8"/>
        <v>0</v>
      </c>
      <c r="F21" t="b">
        <f t="shared" si="8"/>
        <v>0</v>
      </c>
      <c r="G21" t="b">
        <f t="shared" si="8"/>
        <v>0</v>
      </c>
      <c r="H21" t="b">
        <f t="shared" si="8"/>
        <v>0</v>
      </c>
      <c r="I21" t="b">
        <f t="shared" si="8"/>
        <v>0</v>
      </c>
      <c r="J21" t="b">
        <f t="shared" si="8"/>
        <v>1</v>
      </c>
      <c r="K21" t="b">
        <f t="shared" si="8"/>
        <v>1</v>
      </c>
      <c r="L21" t="b">
        <f t="shared" si="8"/>
        <v>1</v>
      </c>
      <c r="M21" t="b">
        <f t="shared" si="8"/>
        <v>1</v>
      </c>
      <c r="N21" t="b">
        <f t="shared" si="8"/>
        <v>1</v>
      </c>
      <c r="O21" t="b">
        <f t="shared" si="8"/>
        <v>1</v>
      </c>
      <c r="P21" t="b">
        <f t="shared" si="15"/>
        <v>1</v>
      </c>
      <c r="Q21" t="b">
        <f t="shared" si="15"/>
        <v>1</v>
      </c>
    </row>
    <row r="22" spans="1:18" x14ac:dyDescent="0.3">
      <c r="A22" s="2">
        <v>20350</v>
      </c>
      <c r="B22" s="2" t="s">
        <v>18</v>
      </c>
      <c r="C22" t="b">
        <f t="shared" ref="C22:Q22" si="16">C9&lt;3/1440</f>
        <v>1</v>
      </c>
      <c r="D22" t="b">
        <f t="shared" si="16"/>
        <v>1</v>
      </c>
      <c r="E22" t="b">
        <f t="shared" si="16"/>
        <v>1</v>
      </c>
      <c r="F22" t="b">
        <f t="shared" si="16"/>
        <v>1</v>
      </c>
      <c r="G22" t="b">
        <f t="shared" si="16"/>
        <v>1</v>
      </c>
      <c r="H22" t="b">
        <f t="shared" si="16"/>
        <v>1</v>
      </c>
      <c r="I22" t="b">
        <f t="shared" si="16"/>
        <v>1</v>
      </c>
      <c r="J22" t="b">
        <f t="shared" si="16"/>
        <v>1</v>
      </c>
      <c r="K22" t="b">
        <f t="shared" si="16"/>
        <v>1</v>
      </c>
      <c r="L22" t="b">
        <f t="shared" si="16"/>
        <v>1</v>
      </c>
      <c r="M22" t="b">
        <f t="shared" si="16"/>
        <v>1</v>
      </c>
      <c r="N22" t="b">
        <f t="shared" si="16"/>
        <v>1</v>
      </c>
      <c r="O22" t="b">
        <f t="shared" si="16"/>
        <v>1</v>
      </c>
      <c r="P22" t="b">
        <f t="shared" si="16"/>
        <v>1</v>
      </c>
      <c r="Q22" t="b">
        <f t="shared" si="16"/>
        <v>1</v>
      </c>
    </row>
    <row r="23" spans="1:18" x14ac:dyDescent="0.3">
      <c r="A23" s="2">
        <v>31200</v>
      </c>
      <c r="B23" s="2" t="s">
        <v>18</v>
      </c>
      <c r="C23" t="b">
        <f t="shared" ref="C23:Q23" si="17">C10&lt;3/1440</f>
        <v>0</v>
      </c>
      <c r="D23" t="b">
        <f t="shared" si="17"/>
        <v>0</v>
      </c>
      <c r="E23" t="b">
        <f t="shared" si="17"/>
        <v>0</v>
      </c>
      <c r="F23" t="b">
        <f t="shared" si="17"/>
        <v>0</v>
      </c>
      <c r="G23" t="b">
        <f t="shared" si="17"/>
        <v>1</v>
      </c>
      <c r="H23" t="b">
        <f t="shared" si="17"/>
        <v>1</v>
      </c>
      <c r="I23" t="b">
        <f t="shared" si="17"/>
        <v>1</v>
      </c>
      <c r="J23" t="b">
        <f t="shared" si="17"/>
        <v>1</v>
      </c>
      <c r="K23" t="b">
        <f t="shared" si="17"/>
        <v>1</v>
      </c>
      <c r="L23" t="b">
        <f t="shared" si="17"/>
        <v>1</v>
      </c>
      <c r="M23" t="b">
        <f t="shared" si="17"/>
        <v>1</v>
      </c>
      <c r="N23" t="b">
        <f t="shared" si="17"/>
        <v>1</v>
      </c>
      <c r="O23" t="b">
        <f t="shared" si="17"/>
        <v>1</v>
      </c>
      <c r="P23" t="b">
        <f t="shared" si="17"/>
        <v>1</v>
      </c>
      <c r="Q23" t="b">
        <f t="shared" si="17"/>
        <v>1</v>
      </c>
    </row>
    <row r="24" spans="1:18" x14ac:dyDescent="0.3">
      <c r="A24" s="2">
        <v>31200</v>
      </c>
      <c r="B24" s="2" t="s">
        <v>24</v>
      </c>
      <c r="C24" t="b">
        <f t="shared" ref="C24:D24" si="18">C11&lt;3/1440</f>
        <v>1</v>
      </c>
      <c r="D24" t="b">
        <f t="shared" si="18"/>
        <v>1</v>
      </c>
      <c r="E24" t="b">
        <f t="shared" ref="E24:O24" si="19">E11&lt;3/1440</f>
        <v>1</v>
      </c>
      <c r="F24" t="b">
        <f t="shared" si="19"/>
        <v>1</v>
      </c>
      <c r="G24" t="b">
        <f t="shared" si="19"/>
        <v>1</v>
      </c>
      <c r="H24" t="b">
        <f t="shared" si="19"/>
        <v>1</v>
      </c>
      <c r="I24" t="b">
        <f t="shared" si="19"/>
        <v>1</v>
      </c>
      <c r="J24" t="b">
        <f t="shared" si="19"/>
        <v>1</v>
      </c>
      <c r="K24" t="b">
        <f t="shared" si="19"/>
        <v>1</v>
      </c>
      <c r="L24" t="b">
        <f t="shared" si="19"/>
        <v>1</v>
      </c>
      <c r="M24" t="b">
        <f t="shared" si="19"/>
        <v>1</v>
      </c>
      <c r="N24" t="b">
        <f t="shared" si="19"/>
        <v>1</v>
      </c>
      <c r="O24" t="b">
        <f t="shared" si="19"/>
        <v>1</v>
      </c>
      <c r="P24" t="b">
        <f t="shared" ref="P24:Q24" si="20">P11&lt;3/1440</f>
        <v>1</v>
      </c>
      <c r="Q24" t="b">
        <f t="shared" si="20"/>
        <v>1</v>
      </c>
    </row>
    <row r="25" spans="1:18" x14ac:dyDescent="0.3">
      <c r="A25" s="2">
        <v>7900</v>
      </c>
      <c r="B25" s="2" t="s">
        <v>16</v>
      </c>
      <c r="C25" t="b">
        <f t="shared" ref="C25:D25" si="21">C12&lt;3/1440</f>
        <v>1</v>
      </c>
      <c r="D25" t="b">
        <f t="shared" si="21"/>
        <v>1</v>
      </c>
      <c r="E25" t="b">
        <f t="shared" ref="E25:O25" si="22">E12&lt;3/1440</f>
        <v>1</v>
      </c>
      <c r="F25" t="b">
        <f t="shared" si="22"/>
        <v>1</v>
      </c>
      <c r="G25" t="b">
        <f t="shared" si="22"/>
        <v>1</v>
      </c>
      <c r="H25" t="b">
        <f t="shared" si="22"/>
        <v>1</v>
      </c>
      <c r="I25" t="b">
        <f t="shared" si="22"/>
        <v>1</v>
      </c>
      <c r="J25" t="b">
        <f t="shared" si="22"/>
        <v>1</v>
      </c>
      <c r="K25" t="b">
        <f t="shared" si="22"/>
        <v>1</v>
      </c>
      <c r="L25" t="b">
        <f t="shared" si="22"/>
        <v>1</v>
      </c>
      <c r="M25" t="b">
        <f t="shared" si="22"/>
        <v>1</v>
      </c>
      <c r="N25" t="b">
        <f t="shared" si="22"/>
        <v>1</v>
      </c>
      <c r="O25" t="b">
        <f t="shared" si="22"/>
        <v>1</v>
      </c>
      <c r="P25" t="b">
        <f t="shared" ref="P25:Q25" si="23">P12&lt;3/1440</f>
        <v>1</v>
      </c>
      <c r="Q25" t="b">
        <f t="shared" si="23"/>
        <v>1</v>
      </c>
    </row>
    <row r="26" spans="1:18" x14ac:dyDescent="0.3">
      <c r="A26" t="s">
        <v>31</v>
      </c>
      <c r="C26" s="12">
        <f>COUNTIF(C16:C21,TRUE) / 6</f>
        <v>1</v>
      </c>
      <c r="D26" s="12">
        <f t="shared" ref="D26:Q26" si="24">COUNTIF(D16:D21,TRUE) / 6</f>
        <v>1</v>
      </c>
      <c r="E26" s="12">
        <f t="shared" si="24"/>
        <v>0.66666666666666663</v>
      </c>
      <c r="F26" s="12">
        <f t="shared" si="24"/>
        <v>0.66666666666666663</v>
      </c>
      <c r="G26" s="12">
        <f t="shared" si="24"/>
        <v>0.5</v>
      </c>
      <c r="H26" s="12">
        <f t="shared" si="24"/>
        <v>0.5</v>
      </c>
      <c r="I26" s="12">
        <f t="shared" si="24"/>
        <v>0.5</v>
      </c>
      <c r="J26" s="12">
        <f t="shared" si="24"/>
        <v>0.66666666666666663</v>
      </c>
      <c r="K26" s="12">
        <f t="shared" si="24"/>
        <v>0.66666666666666663</v>
      </c>
      <c r="L26" s="12">
        <f t="shared" si="24"/>
        <v>0.66666666666666663</v>
      </c>
      <c r="M26" s="12">
        <f t="shared" si="24"/>
        <v>0.66666666666666663</v>
      </c>
      <c r="N26" s="12">
        <f t="shared" si="24"/>
        <v>0.83333333333333337</v>
      </c>
      <c r="O26" s="12">
        <f t="shared" si="24"/>
        <v>0.66666666666666663</v>
      </c>
      <c r="P26" s="12">
        <f t="shared" si="24"/>
        <v>0.83333333333333337</v>
      </c>
      <c r="Q26" s="12">
        <f t="shared" si="24"/>
        <v>1</v>
      </c>
    </row>
    <row r="28" spans="1:18" x14ac:dyDescent="0.3">
      <c r="A28" t="s">
        <v>33</v>
      </c>
      <c r="C28" s="3">
        <f t="shared" ref="C28:D28" si="25">C2-C1</f>
        <v>-2.0833333333333333E-3</v>
      </c>
      <c r="D28" s="3">
        <f t="shared" si="25"/>
        <v>-2.7777777777777779E-3</v>
      </c>
      <c r="E28" s="3">
        <f t="shared" ref="E28:O28" si="26">E2-E1</f>
        <v>-3.472222222222222E-3</v>
      </c>
      <c r="F28" s="3">
        <f t="shared" si="26"/>
        <v>-4.1666666666666666E-3</v>
      </c>
      <c r="G28" s="3">
        <f t="shared" si="26"/>
        <v>-4.4444444444444436E-3</v>
      </c>
      <c r="H28" s="3">
        <f t="shared" si="26"/>
        <v>-5.0925925925925869E-3</v>
      </c>
      <c r="I28" s="3">
        <f t="shared" si="26"/>
        <v>-5.3240740740740748E-3</v>
      </c>
      <c r="J28" s="3">
        <f t="shared" si="26"/>
        <v>2.7546296296296338E-3</v>
      </c>
      <c r="K28" s="3">
        <f t="shared" si="26"/>
        <v>2.0601851851851831E-3</v>
      </c>
      <c r="L28" s="3">
        <f t="shared" si="26"/>
        <v>1.3657407407407438E-3</v>
      </c>
      <c r="M28" s="3">
        <f t="shared" si="26"/>
        <v>6.712962962962931E-4</v>
      </c>
      <c r="N28" s="3">
        <f t="shared" si="26"/>
        <v>-2.3148148148147141E-5</v>
      </c>
      <c r="O28" s="3">
        <f t="shared" si="26"/>
        <v>-7.1759259259262728E-4</v>
      </c>
      <c r="P28" s="3">
        <f t="shared" ref="P28:Q28" si="27">P2-P1</f>
        <v>-2.4537037037037027E-3</v>
      </c>
      <c r="Q28" s="3">
        <f t="shared" si="27"/>
        <v>2.3148148148148182E-4</v>
      </c>
      <c r="R28" t="s">
        <v>61</v>
      </c>
    </row>
    <row r="29" spans="1:18" x14ac:dyDescent="0.3">
      <c r="A29" t="s">
        <v>33</v>
      </c>
      <c r="C29" s="3">
        <f t="shared" ref="C29:D29" si="28">C1-C2</f>
        <v>2.0833333333333333E-3</v>
      </c>
      <c r="D29" s="3">
        <f t="shared" si="28"/>
        <v>2.7777777777777779E-3</v>
      </c>
      <c r="E29" s="3">
        <f t="shared" ref="E29:O29" si="29">E1-E2</f>
        <v>3.472222222222222E-3</v>
      </c>
      <c r="F29" s="3">
        <f t="shared" si="29"/>
        <v>4.1666666666666666E-3</v>
      </c>
      <c r="G29" s="3">
        <f t="shared" si="29"/>
        <v>4.4444444444444436E-3</v>
      </c>
      <c r="H29" s="3">
        <f t="shared" si="29"/>
        <v>5.0925925925925869E-3</v>
      </c>
      <c r="I29" s="3">
        <f t="shared" si="29"/>
        <v>5.3240740740740748E-3</v>
      </c>
      <c r="J29" s="3">
        <f t="shared" si="29"/>
        <v>-2.7546296296296338E-3</v>
      </c>
      <c r="K29" s="3">
        <f t="shared" si="29"/>
        <v>-2.0601851851851831E-3</v>
      </c>
      <c r="L29" s="3">
        <f t="shared" si="29"/>
        <v>-1.3657407407407438E-3</v>
      </c>
      <c r="M29" s="3">
        <f t="shared" si="29"/>
        <v>-6.712962962962931E-4</v>
      </c>
      <c r="N29" s="3">
        <f t="shared" si="29"/>
        <v>2.3148148148147141E-5</v>
      </c>
      <c r="O29" s="3">
        <f t="shared" si="29"/>
        <v>7.1759259259262728E-4</v>
      </c>
      <c r="P29" s="3">
        <f t="shared" ref="P29:Q29" si="30">P1-P2</f>
        <v>2.4537037037037027E-3</v>
      </c>
      <c r="Q29" s="3">
        <f t="shared" si="30"/>
        <v>-2.3148148148148182E-4</v>
      </c>
      <c r="R29" t="s">
        <v>62</v>
      </c>
    </row>
    <row r="31" spans="1:18" x14ac:dyDescent="0.3">
      <c r="A31" t="s">
        <v>38</v>
      </c>
      <c r="C31" s="12">
        <f>(C20+C21+C23+C24+C25)/5</f>
        <v>0.8</v>
      </c>
      <c r="D31" s="12">
        <f t="shared" ref="D31:Q31" si="31">(D20+D21+D23+D24+D25)/5</f>
        <v>0.8</v>
      </c>
      <c r="E31" s="12">
        <f t="shared" si="31"/>
        <v>0.6</v>
      </c>
      <c r="F31" s="12">
        <f t="shared" si="31"/>
        <v>0.6</v>
      </c>
      <c r="G31" s="12">
        <f t="shared" si="31"/>
        <v>0.8</v>
      </c>
      <c r="H31" s="12">
        <f t="shared" si="31"/>
        <v>0.8</v>
      </c>
      <c r="I31" s="12">
        <f t="shared" si="31"/>
        <v>0.8</v>
      </c>
      <c r="J31" s="12">
        <f t="shared" si="31"/>
        <v>1</v>
      </c>
      <c r="K31" s="12">
        <f t="shared" si="31"/>
        <v>1</v>
      </c>
      <c r="L31" s="12">
        <f t="shared" si="31"/>
        <v>1</v>
      </c>
      <c r="M31" s="12">
        <f t="shared" si="31"/>
        <v>1</v>
      </c>
      <c r="N31" s="12">
        <f t="shared" si="31"/>
        <v>1</v>
      </c>
      <c r="O31" s="12">
        <f t="shared" si="31"/>
        <v>1</v>
      </c>
      <c r="P31" s="12">
        <f t="shared" si="31"/>
        <v>1</v>
      </c>
      <c r="Q31" s="12">
        <f t="shared" si="31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04C92-3462-4D51-B862-BD2D93DD5BA8}">
  <dimension ref="A1:X31"/>
  <sheetViews>
    <sheetView workbookViewId="0">
      <selection activeCell="T12" sqref="T12"/>
    </sheetView>
  </sheetViews>
  <sheetFormatPr defaultRowHeight="14.4" x14ac:dyDescent="0.3"/>
  <cols>
    <col min="1" max="17" width="10.6640625" customWidth="1"/>
  </cols>
  <sheetData>
    <row r="1" spans="1:24" x14ac:dyDescent="0.3">
      <c r="A1" s="1" t="s">
        <v>0</v>
      </c>
      <c r="B1" s="6"/>
      <c r="C1" s="19">
        <v>2.0833333333333333E-3</v>
      </c>
      <c r="D1" s="19">
        <v>2.7777777777777779E-3</v>
      </c>
      <c r="E1" s="19">
        <v>3.472222222222222E-3</v>
      </c>
      <c r="F1" s="19">
        <v>4.1666666666666666E-3</v>
      </c>
      <c r="G1" s="19">
        <v>4.8611111111111103E-3</v>
      </c>
      <c r="H1" s="19">
        <v>5.5555555555555497E-3</v>
      </c>
      <c r="I1" s="19">
        <v>6.2500000000000003E-3</v>
      </c>
      <c r="J1" s="19">
        <v>6.9444444444444397E-3</v>
      </c>
      <c r="K1" s="19">
        <v>7.6388888888888904E-3</v>
      </c>
      <c r="L1" s="19">
        <v>8.3333333333333297E-3</v>
      </c>
      <c r="M1" s="19">
        <v>9.0277777777777804E-3</v>
      </c>
      <c r="N1" s="19">
        <v>9.7222222222222206E-3</v>
      </c>
      <c r="O1" s="19">
        <v>1.0416666666666701E-2</v>
      </c>
      <c r="P1" s="19">
        <v>1.3888888888888888E-2</v>
      </c>
      <c r="Q1" s="19">
        <v>1.7361111111111112E-2</v>
      </c>
      <c r="R1" t="s">
        <v>1</v>
      </c>
    </row>
    <row r="2" spans="1:24" x14ac:dyDescent="0.3">
      <c r="A2" s="2" t="s">
        <v>2</v>
      </c>
      <c r="B2" s="7" t="s">
        <v>3</v>
      </c>
      <c r="C2" s="24">
        <v>0</v>
      </c>
      <c r="D2" s="24">
        <v>0</v>
      </c>
      <c r="E2" s="22">
        <v>0</v>
      </c>
      <c r="F2" s="22">
        <v>1.6203703703703703E-4</v>
      </c>
      <c r="G2" s="22">
        <v>2.0370370370370369E-3</v>
      </c>
      <c r="H2" s="22">
        <v>2.0601851851851853E-3</v>
      </c>
      <c r="I2" s="22">
        <v>2.2453703703703702E-3</v>
      </c>
      <c r="J2" s="22">
        <v>9.6990740740740735E-3</v>
      </c>
      <c r="K2" s="22">
        <v>9.6990740740740735E-3</v>
      </c>
      <c r="L2" s="22">
        <v>9.6990740740740735E-3</v>
      </c>
      <c r="M2" s="22">
        <v>9.6990740740740735E-3</v>
      </c>
      <c r="N2" s="22">
        <v>9.6990740740740735E-3</v>
      </c>
      <c r="O2" s="22">
        <v>9.6990740740740735E-3</v>
      </c>
      <c r="P2" s="22">
        <v>1.7592592592592594E-2</v>
      </c>
      <c r="Q2" s="22">
        <v>1.7592592592592594E-2</v>
      </c>
      <c r="R2" t="s">
        <v>4</v>
      </c>
      <c r="T2" t="s">
        <v>60</v>
      </c>
      <c r="X2" s="27">
        <v>0.48469907407407409</v>
      </c>
    </row>
    <row r="3" spans="1:24" x14ac:dyDescent="0.3">
      <c r="A3" s="2">
        <v>1700</v>
      </c>
      <c r="B3" s="7" t="s">
        <v>6</v>
      </c>
      <c r="C3" s="25">
        <v>7.407407407407407E-4</v>
      </c>
      <c r="D3" s="25">
        <v>1.5509259259259259E-3</v>
      </c>
      <c r="E3" s="3">
        <v>2.2685185185185187E-3</v>
      </c>
      <c r="F3" s="3">
        <v>2.9629629629629628E-3</v>
      </c>
      <c r="G3" s="3">
        <v>1.136574074074074E-2</v>
      </c>
      <c r="H3" s="3">
        <v>1.136574074074074E-2</v>
      </c>
      <c r="I3" s="3">
        <v>1.136574074074074E-2</v>
      </c>
      <c r="J3" s="3">
        <v>3.7268518518518519E-3</v>
      </c>
      <c r="K3" s="3">
        <v>3.6805555555555554E-3</v>
      </c>
      <c r="L3" s="3">
        <v>6.1111111111111114E-3</v>
      </c>
      <c r="M3" s="3">
        <v>1.136574074074074E-2</v>
      </c>
      <c r="N3" s="3">
        <v>6.1111111111111114E-3</v>
      </c>
      <c r="O3" s="3">
        <v>3.7268518518518519E-3</v>
      </c>
      <c r="P3" s="3">
        <v>1.5509259259259259E-3</v>
      </c>
      <c r="Q3" s="3">
        <v>1.5509259259259259E-3</v>
      </c>
      <c r="R3" t="s">
        <v>7</v>
      </c>
      <c r="X3" s="11"/>
    </row>
    <row r="4" spans="1:24" x14ac:dyDescent="0.3">
      <c r="A4" s="2">
        <v>7000</v>
      </c>
      <c r="B4" s="7" t="s">
        <v>9</v>
      </c>
      <c r="C4" s="25">
        <v>6.9444444444444447E-4</v>
      </c>
      <c r="D4" s="25">
        <v>1.3888888888888889E-3</v>
      </c>
      <c r="E4" s="3">
        <v>2.0833333333333333E-3</v>
      </c>
      <c r="F4" s="3">
        <v>2.7777777777777779E-3</v>
      </c>
      <c r="G4" s="3">
        <v>4.3518518518518515E-3</v>
      </c>
      <c r="H4" s="3">
        <v>4.3981481481481484E-3</v>
      </c>
      <c r="I4" s="3">
        <v>4.8611111111111112E-3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1.3657407407407407E-3</v>
      </c>
      <c r="Q4" s="3">
        <v>1.3657407407407407E-3</v>
      </c>
      <c r="R4" t="s">
        <v>10</v>
      </c>
    </row>
    <row r="5" spans="1:24" x14ac:dyDescent="0.3">
      <c r="A5" s="2">
        <v>31200</v>
      </c>
      <c r="B5" s="7" t="s">
        <v>11</v>
      </c>
      <c r="C5" s="25">
        <v>5.5555555555555556E-4</v>
      </c>
      <c r="D5" s="25">
        <v>1.25E-3</v>
      </c>
      <c r="E5" s="3">
        <v>2.8703703703703703E-3</v>
      </c>
      <c r="F5" s="3">
        <v>2.8703703703703703E-3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t="s">
        <v>12</v>
      </c>
    </row>
    <row r="6" spans="1:24" x14ac:dyDescent="0.3">
      <c r="A6" s="2">
        <v>7900</v>
      </c>
      <c r="B6" s="7" t="s">
        <v>13</v>
      </c>
      <c r="C6" s="25">
        <v>0</v>
      </c>
      <c r="D6" s="25">
        <v>3.7037037037037035E-4</v>
      </c>
      <c r="E6" s="3">
        <v>1.0648148148148149E-3</v>
      </c>
      <c r="F6" s="3">
        <v>1.7592592592592592E-3</v>
      </c>
      <c r="G6" s="3">
        <v>2.6157407407407405E-3</v>
      </c>
      <c r="H6" s="3">
        <v>2.662037037037037E-3</v>
      </c>
      <c r="I6" s="3">
        <v>3.2407407407407406E-3</v>
      </c>
      <c r="J6" s="3">
        <v>3.9351851851851848E-3</v>
      </c>
      <c r="K6" s="3">
        <v>4.5138888888888885E-3</v>
      </c>
      <c r="L6" s="3">
        <v>5.208333333333333E-3</v>
      </c>
      <c r="M6" s="29">
        <v>1.1435185185185185E-2</v>
      </c>
      <c r="N6" s="3">
        <v>2.8009259259259259E-3</v>
      </c>
      <c r="O6" s="3">
        <v>0</v>
      </c>
      <c r="P6" s="3">
        <v>0</v>
      </c>
      <c r="Q6" s="3">
        <v>0</v>
      </c>
      <c r="R6" t="s">
        <v>14</v>
      </c>
    </row>
    <row r="7" spans="1:24" x14ac:dyDescent="0.3">
      <c r="A7" s="2">
        <v>31300</v>
      </c>
      <c r="B7" s="7" t="s">
        <v>3</v>
      </c>
      <c r="C7" s="25">
        <v>0</v>
      </c>
      <c r="D7" s="25">
        <v>0</v>
      </c>
      <c r="E7" s="3">
        <v>0</v>
      </c>
      <c r="F7" s="3">
        <v>0</v>
      </c>
      <c r="G7" s="3">
        <v>9.9537037037037042E-4</v>
      </c>
      <c r="H7" s="3">
        <v>1.0185185185185184E-3</v>
      </c>
      <c r="I7" s="3">
        <v>1.2037037037037038E-3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t="s">
        <v>15</v>
      </c>
    </row>
    <row r="8" spans="1:24" x14ac:dyDescent="0.3">
      <c r="A8" s="2">
        <v>3600</v>
      </c>
      <c r="B8" s="7" t="s">
        <v>16</v>
      </c>
      <c r="C8" s="25">
        <v>2.3379629629629631E-3</v>
      </c>
      <c r="D8" s="25">
        <v>3.9814814814814817E-3</v>
      </c>
      <c r="E8" s="3">
        <v>4.6759259259259263E-3</v>
      </c>
      <c r="F8" s="3">
        <v>5.37037037037037E-3</v>
      </c>
      <c r="G8" s="3">
        <v>9.4907407407407408E-4</v>
      </c>
      <c r="H8" s="3">
        <v>9.4907407407407408E-4</v>
      </c>
      <c r="I8" s="3">
        <v>9.4907407407407408E-4</v>
      </c>
      <c r="J8" s="3">
        <v>9.4907407407407408E-4</v>
      </c>
      <c r="K8" s="3">
        <v>9.4907407407407408E-4</v>
      </c>
      <c r="L8" s="3">
        <v>9.4907407407407408E-4</v>
      </c>
      <c r="M8" s="3">
        <v>9.4907407407407408E-4</v>
      </c>
      <c r="N8" s="3">
        <v>9.4907407407407408E-4</v>
      </c>
      <c r="O8" s="3">
        <v>9.4907407407407408E-4</v>
      </c>
      <c r="P8" s="3">
        <v>9.4907407407407408E-4</v>
      </c>
      <c r="Q8" s="3">
        <v>9.4907407407407408E-4</v>
      </c>
    </row>
    <row r="9" spans="1:24" x14ac:dyDescent="0.3">
      <c r="A9" s="2">
        <v>20350</v>
      </c>
      <c r="B9" s="7" t="s">
        <v>18</v>
      </c>
      <c r="C9" s="24">
        <v>0</v>
      </c>
      <c r="D9" s="24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6.9444444444444447E-4</v>
      </c>
      <c r="P9" s="22">
        <v>0</v>
      </c>
      <c r="Q9" s="22">
        <v>0</v>
      </c>
      <c r="R9" t="s">
        <v>19</v>
      </c>
    </row>
    <row r="10" spans="1:24" x14ac:dyDescent="0.3">
      <c r="A10" s="4">
        <v>31200</v>
      </c>
      <c r="B10" s="4" t="s">
        <v>18</v>
      </c>
      <c r="C10" s="26">
        <v>2.1990740740740742E-3</v>
      </c>
      <c r="D10" s="25">
        <v>2.8935185185185184E-3</v>
      </c>
      <c r="E10" s="3">
        <v>3.5879629629629629E-3</v>
      </c>
      <c r="F10" s="3">
        <v>4.2824074074074075E-3</v>
      </c>
      <c r="G10" s="3">
        <v>1.1574074074074075E-4</v>
      </c>
      <c r="H10" s="3">
        <v>1.1574074074074075E-4</v>
      </c>
      <c r="I10" s="3">
        <v>1.1574074074074075E-4</v>
      </c>
      <c r="J10" s="3">
        <v>1.1574074074074075E-4</v>
      </c>
      <c r="K10" s="3">
        <v>1.1574074074074075E-4</v>
      </c>
      <c r="L10" s="3">
        <v>1.1574074074074075E-4</v>
      </c>
      <c r="M10" s="3">
        <v>1.1574074074074075E-4</v>
      </c>
      <c r="N10" s="3">
        <v>1.1574074074074075E-4</v>
      </c>
      <c r="O10" s="3">
        <v>1.1574074074074075E-4</v>
      </c>
      <c r="P10" s="3">
        <v>1.1574074074074075E-4</v>
      </c>
      <c r="Q10" s="3">
        <v>1.1574074074074075E-4</v>
      </c>
    </row>
    <row r="11" spans="1:24" x14ac:dyDescent="0.3">
      <c r="A11" s="2">
        <v>31200</v>
      </c>
      <c r="B11" s="2" t="s">
        <v>24</v>
      </c>
      <c r="C11" s="26">
        <v>1.6203703703703703E-4</v>
      </c>
      <c r="D11" s="25">
        <v>2.7777777777777778E-4</v>
      </c>
      <c r="E11" s="3">
        <v>1.8749999999999999E-3</v>
      </c>
      <c r="F11" s="3">
        <v>1.8749999999999999E-3</v>
      </c>
      <c r="G11" s="3">
        <v>1.6203703703703703E-4</v>
      </c>
      <c r="H11" s="3">
        <v>1.6203703703703703E-4</v>
      </c>
      <c r="I11" s="3">
        <v>1.6203703703703703E-4</v>
      </c>
      <c r="J11" s="3">
        <v>1.6203703703703703E-4</v>
      </c>
      <c r="K11" s="3">
        <v>1.6203703703703703E-4</v>
      </c>
      <c r="L11" s="3">
        <v>1.6203703703703703E-4</v>
      </c>
      <c r="M11" s="3">
        <v>1.6203703703703703E-4</v>
      </c>
      <c r="N11" s="3">
        <v>1.6203703703703703E-4</v>
      </c>
      <c r="O11" s="3">
        <v>1.6203703703703703E-4</v>
      </c>
      <c r="P11" s="3">
        <v>1.6203703703703703E-4</v>
      </c>
      <c r="Q11" s="3">
        <v>1.6203703703703703E-4</v>
      </c>
    </row>
    <row r="12" spans="1:24" x14ac:dyDescent="0.3">
      <c r="A12" s="2">
        <v>7900</v>
      </c>
      <c r="B12" s="2" t="s">
        <v>16</v>
      </c>
      <c r="C12" s="26">
        <v>0</v>
      </c>
      <c r="D12" s="25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6.9444444444444447E-4</v>
      </c>
      <c r="L12" s="3">
        <v>1.3888888888888889E-3</v>
      </c>
      <c r="M12" s="3">
        <v>7.6157407407407406E-3</v>
      </c>
      <c r="N12" s="3">
        <v>0</v>
      </c>
      <c r="O12" s="3">
        <v>0</v>
      </c>
      <c r="P12" s="3">
        <v>0</v>
      </c>
      <c r="Q12" s="3">
        <v>0</v>
      </c>
    </row>
    <row r="13" spans="1:24" x14ac:dyDescent="0.3">
      <c r="A13" s="9" t="s">
        <v>25</v>
      </c>
      <c r="B13" s="9"/>
      <c r="C13" s="10">
        <f t="shared" ref="C13:Q13" si="0">SUM(C3:C8)</f>
        <v>4.3287037037037044E-3</v>
      </c>
      <c r="D13" s="10">
        <f t="shared" si="0"/>
        <v>8.5416666666666662E-3</v>
      </c>
      <c r="E13" s="10">
        <f t="shared" si="0"/>
        <v>1.2962962962962964E-2</v>
      </c>
      <c r="F13" s="10">
        <f t="shared" si="0"/>
        <v>1.5740740740740739E-2</v>
      </c>
      <c r="G13" s="10">
        <f t="shared" si="0"/>
        <v>2.0277777777777777E-2</v>
      </c>
      <c r="H13" s="10">
        <f t="shared" si="0"/>
        <v>2.0393518518518519E-2</v>
      </c>
      <c r="I13" s="10">
        <f t="shared" si="0"/>
        <v>2.1620370370370373E-2</v>
      </c>
      <c r="J13" s="10">
        <f t="shared" si="0"/>
        <v>8.611111111111111E-3</v>
      </c>
      <c r="K13" s="10">
        <f t="shared" si="0"/>
        <v>9.1435185185185178E-3</v>
      </c>
      <c r="L13" s="10">
        <f t="shared" si="0"/>
        <v>1.2268518518518519E-2</v>
      </c>
      <c r="M13" s="10">
        <f t="shared" si="0"/>
        <v>2.375E-2</v>
      </c>
      <c r="N13" s="10">
        <f t="shared" si="0"/>
        <v>9.8611111111111122E-3</v>
      </c>
      <c r="O13" s="10">
        <f t="shared" si="0"/>
        <v>4.6759259259259263E-3</v>
      </c>
      <c r="P13" s="10">
        <f t="shared" si="0"/>
        <v>3.8657407407407403E-3</v>
      </c>
      <c r="Q13" s="10">
        <f t="shared" si="0"/>
        <v>3.8657407407407403E-3</v>
      </c>
    </row>
    <row r="15" spans="1:24" x14ac:dyDescent="0.3">
      <c r="A15" s="2" t="s">
        <v>2</v>
      </c>
      <c r="B15" s="2" t="s">
        <v>3</v>
      </c>
      <c r="C15" t="b">
        <f t="shared" ref="C15:D15" si="1">C2&lt;6/1440</f>
        <v>1</v>
      </c>
      <c r="D15" t="b">
        <f t="shared" si="1"/>
        <v>1</v>
      </c>
      <c r="E15" t="b">
        <f>E2&lt;6/1440</f>
        <v>1</v>
      </c>
      <c r="F15" t="b">
        <f t="shared" ref="F15:O15" si="2">F2&lt;6/1440</f>
        <v>1</v>
      </c>
      <c r="G15" t="b">
        <f t="shared" si="2"/>
        <v>1</v>
      </c>
      <c r="H15" t="b">
        <f t="shared" si="2"/>
        <v>1</v>
      </c>
      <c r="I15" t="b">
        <f t="shared" si="2"/>
        <v>1</v>
      </c>
      <c r="J15" t="b">
        <f t="shared" si="2"/>
        <v>0</v>
      </c>
      <c r="K15" t="b">
        <f t="shared" si="2"/>
        <v>0</v>
      </c>
      <c r="L15" t="b">
        <f t="shared" si="2"/>
        <v>0</v>
      </c>
      <c r="M15" t="b">
        <f t="shared" si="2"/>
        <v>0</v>
      </c>
      <c r="N15" t="b">
        <f t="shared" si="2"/>
        <v>0</v>
      </c>
      <c r="O15" t="b">
        <f t="shared" si="2"/>
        <v>0</v>
      </c>
      <c r="P15" t="b">
        <f t="shared" ref="P15:Q15" si="3">P2&lt;6/1440</f>
        <v>0</v>
      </c>
      <c r="Q15" t="b">
        <f t="shared" si="3"/>
        <v>0</v>
      </c>
    </row>
    <row r="16" spans="1:24" x14ac:dyDescent="0.3">
      <c r="A16" s="2">
        <v>1700</v>
      </c>
      <c r="B16" s="2" t="s">
        <v>6</v>
      </c>
      <c r="C16" t="b">
        <f t="shared" ref="C16:D16" si="4">C3&lt;3/1440</f>
        <v>1</v>
      </c>
      <c r="D16" t="b">
        <f t="shared" si="4"/>
        <v>1</v>
      </c>
      <c r="E16" t="b">
        <f t="shared" ref="E16:E21" si="5">E3&lt;3/1440</f>
        <v>0</v>
      </c>
      <c r="F16" t="b">
        <f t="shared" ref="F16:O16" si="6">F3&lt;3/1440</f>
        <v>0</v>
      </c>
      <c r="G16" t="b">
        <f t="shared" si="6"/>
        <v>0</v>
      </c>
      <c r="H16" t="b">
        <f t="shared" si="6"/>
        <v>0</v>
      </c>
      <c r="I16" t="b">
        <f t="shared" si="6"/>
        <v>0</v>
      </c>
      <c r="J16" t="b">
        <f t="shared" si="6"/>
        <v>0</v>
      </c>
      <c r="K16" t="b">
        <f t="shared" si="6"/>
        <v>0</v>
      </c>
      <c r="L16" t="b">
        <f t="shared" si="6"/>
        <v>0</v>
      </c>
      <c r="M16" t="b">
        <f t="shared" si="6"/>
        <v>0</v>
      </c>
      <c r="N16" t="b">
        <f t="shared" si="6"/>
        <v>0</v>
      </c>
      <c r="O16" t="b">
        <f t="shared" si="6"/>
        <v>0</v>
      </c>
      <c r="P16" t="b">
        <f t="shared" ref="P16:Q16" si="7">P3&lt;3/1440</f>
        <v>1</v>
      </c>
      <c r="Q16" t="b">
        <f t="shared" si="7"/>
        <v>1</v>
      </c>
    </row>
    <row r="17" spans="1:18" x14ac:dyDescent="0.3">
      <c r="A17" s="2">
        <v>7000</v>
      </c>
      <c r="B17" s="2" t="s">
        <v>9</v>
      </c>
      <c r="C17" t="b">
        <f t="shared" ref="C17:D17" si="8">C4&lt;3/1440</f>
        <v>1</v>
      </c>
      <c r="D17" t="b">
        <f t="shared" si="8"/>
        <v>1</v>
      </c>
      <c r="E17" t="b">
        <f t="shared" si="5"/>
        <v>0</v>
      </c>
      <c r="F17" t="b">
        <f t="shared" ref="F17:O17" si="9">F4&lt;3/1440</f>
        <v>0</v>
      </c>
      <c r="G17" t="b">
        <f t="shared" si="9"/>
        <v>0</v>
      </c>
      <c r="H17" t="b">
        <f t="shared" si="9"/>
        <v>0</v>
      </c>
      <c r="I17" t="b">
        <f t="shared" si="9"/>
        <v>0</v>
      </c>
      <c r="J17" t="b">
        <f t="shared" si="9"/>
        <v>1</v>
      </c>
      <c r="K17" t="b">
        <f t="shared" si="9"/>
        <v>1</v>
      </c>
      <c r="L17" t="b">
        <f t="shared" si="9"/>
        <v>1</v>
      </c>
      <c r="M17" t="b">
        <f t="shared" si="9"/>
        <v>1</v>
      </c>
      <c r="N17" t="b">
        <f t="shared" si="9"/>
        <v>1</v>
      </c>
      <c r="O17" t="b">
        <f t="shared" si="9"/>
        <v>1</v>
      </c>
      <c r="P17" t="b">
        <f t="shared" ref="P17:Q17" si="10">P4&lt;3/1440</f>
        <v>1</v>
      </c>
      <c r="Q17" t="b">
        <f t="shared" si="10"/>
        <v>1</v>
      </c>
    </row>
    <row r="18" spans="1:18" x14ac:dyDescent="0.3">
      <c r="A18" s="2">
        <v>31200</v>
      </c>
      <c r="B18" s="2" t="s">
        <v>11</v>
      </c>
      <c r="C18" t="b">
        <f t="shared" ref="C18:D18" si="11">C5&lt;3/1440</f>
        <v>1</v>
      </c>
      <c r="D18" t="b">
        <f t="shared" si="11"/>
        <v>1</v>
      </c>
      <c r="E18" t="b">
        <f t="shared" si="5"/>
        <v>0</v>
      </c>
      <c r="F18" t="b">
        <f t="shared" ref="F18:O18" si="12">F5&lt;3/1440</f>
        <v>0</v>
      </c>
      <c r="G18" t="b">
        <f t="shared" si="12"/>
        <v>1</v>
      </c>
      <c r="H18" t="b">
        <f t="shared" si="12"/>
        <v>1</v>
      </c>
      <c r="I18" t="b">
        <f t="shared" si="12"/>
        <v>1</v>
      </c>
      <c r="J18" t="b">
        <f t="shared" si="12"/>
        <v>1</v>
      </c>
      <c r="K18" t="b">
        <f t="shared" si="12"/>
        <v>1</v>
      </c>
      <c r="L18" t="b">
        <f t="shared" si="12"/>
        <v>1</v>
      </c>
      <c r="M18" t="b">
        <f t="shared" si="12"/>
        <v>1</v>
      </c>
      <c r="N18" t="b">
        <f t="shared" si="12"/>
        <v>1</v>
      </c>
      <c r="O18" t="b">
        <f t="shared" si="12"/>
        <v>1</v>
      </c>
      <c r="P18" t="b">
        <f t="shared" ref="P18:Q18" si="13">P5&lt;3/1440</f>
        <v>1</v>
      </c>
      <c r="Q18" t="b">
        <f t="shared" si="13"/>
        <v>1</v>
      </c>
    </row>
    <row r="19" spans="1:18" x14ac:dyDescent="0.3">
      <c r="A19" s="2">
        <v>7900</v>
      </c>
      <c r="B19" s="2" t="s">
        <v>13</v>
      </c>
      <c r="C19" t="b">
        <f t="shared" ref="C19:D19" si="14">C6&lt;3/1440</f>
        <v>1</v>
      </c>
      <c r="D19" t="b">
        <f t="shared" si="14"/>
        <v>1</v>
      </c>
      <c r="E19" t="b">
        <f t="shared" si="5"/>
        <v>1</v>
      </c>
      <c r="F19" t="b">
        <f t="shared" ref="F19:O19" si="15">F6&lt;3/1440</f>
        <v>1</v>
      </c>
      <c r="G19" t="b">
        <f t="shared" si="15"/>
        <v>0</v>
      </c>
      <c r="H19" t="b">
        <f t="shared" si="15"/>
        <v>0</v>
      </c>
      <c r="I19" t="b">
        <f t="shared" si="15"/>
        <v>0</v>
      </c>
      <c r="J19" t="b">
        <f t="shared" si="15"/>
        <v>0</v>
      </c>
      <c r="K19" t="b">
        <f t="shared" si="15"/>
        <v>0</v>
      </c>
      <c r="L19" t="b">
        <f t="shared" si="15"/>
        <v>0</v>
      </c>
      <c r="M19" t="b">
        <f t="shared" si="15"/>
        <v>0</v>
      </c>
      <c r="N19" t="b">
        <f t="shared" si="15"/>
        <v>0</v>
      </c>
      <c r="O19" t="b">
        <f t="shared" si="15"/>
        <v>1</v>
      </c>
      <c r="P19" t="b">
        <f t="shared" ref="P19:Q19" si="16">P6&lt;3/1440</f>
        <v>1</v>
      </c>
      <c r="Q19" t="b">
        <f t="shared" si="16"/>
        <v>1</v>
      </c>
    </row>
    <row r="20" spans="1:18" x14ac:dyDescent="0.3">
      <c r="A20" s="2">
        <v>31300</v>
      </c>
      <c r="B20" s="2" t="s">
        <v>3</v>
      </c>
      <c r="C20" t="b">
        <f t="shared" ref="C20:D21" si="17">C7&lt;3/1440</f>
        <v>1</v>
      </c>
      <c r="D20" t="b">
        <f t="shared" si="17"/>
        <v>1</v>
      </c>
      <c r="E20" t="b">
        <f t="shared" si="5"/>
        <v>1</v>
      </c>
      <c r="F20" t="b">
        <f t="shared" ref="F20:O21" si="18">F7&lt;3/1440</f>
        <v>1</v>
      </c>
      <c r="G20" t="b">
        <f t="shared" si="18"/>
        <v>1</v>
      </c>
      <c r="H20" t="b">
        <f t="shared" si="18"/>
        <v>1</v>
      </c>
      <c r="I20" t="b">
        <f t="shared" si="18"/>
        <v>1</v>
      </c>
      <c r="J20" t="b">
        <f t="shared" si="18"/>
        <v>1</v>
      </c>
      <c r="K20" t="b">
        <f t="shared" si="18"/>
        <v>1</v>
      </c>
      <c r="L20" t="b">
        <f t="shared" si="18"/>
        <v>1</v>
      </c>
      <c r="M20" t="b">
        <f t="shared" si="18"/>
        <v>1</v>
      </c>
      <c r="N20" t="b">
        <f t="shared" si="18"/>
        <v>1</v>
      </c>
      <c r="O20" t="b">
        <f t="shared" si="18"/>
        <v>1</v>
      </c>
      <c r="P20" t="b">
        <f t="shared" ref="P20:Q21" si="19">P7&lt;3/1440</f>
        <v>1</v>
      </c>
      <c r="Q20" t="b">
        <f t="shared" si="19"/>
        <v>1</v>
      </c>
    </row>
    <row r="21" spans="1:18" x14ac:dyDescent="0.3">
      <c r="A21" s="2">
        <v>3600</v>
      </c>
      <c r="B21" s="2" t="s">
        <v>16</v>
      </c>
      <c r="C21" t="b">
        <f t="shared" si="17"/>
        <v>0</v>
      </c>
      <c r="D21" t="b">
        <f t="shared" si="17"/>
        <v>0</v>
      </c>
      <c r="E21" t="b">
        <f t="shared" si="5"/>
        <v>0</v>
      </c>
      <c r="F21" t="b">
        <f t="shared" si="18"/>
        <v>0</v>
      </c>
      <c r="G21" t="b">
        <f t="shared" si="18"/>
        <v>1</v>
      </c>
      <c r="H21" t="b">
        <f t="shared" si="18"/>
        <v>1</v>
      </c>
      <c r="I21" t="b">
        <f t="shared" si="18"/>
        <v>1</v>
      </c>
      <c r="J21" t="b">
        <f t="shared" si="18"/>
        <v>1</v>
      </c>
      <c r="K21" t="b">
        <f t="shared" si="18"/>
        <v>1</v>
      </c>
      <c r="L21" t="b">
        <f t="shared" si="18"/>
        <v>1</v>
      </c>
      <c r="M21" t="b">
        <f t="shared" si="18"/>
        <v>1</v>
      </c>
      <c r="N21" t="b">
        <f t="shared" si="18"/>
        <v>1</v>
      </c>
      <c r="O21" t="b">
        <f t="shared" si="18"/>
        <v>1</v>
      </c>
      <c r="P21" t="b">
        <f t="shared" si="19"/>
        <v>1</v>
      </c>
      <c r="Q21" t="b">
        <f t="shared" si="19"/>
        <v>1</v>
      </c>
    </row>
    <row r="22" spans="1:18" x14ac:dyDescent="0.3">
      <c r="A22" s="2">
        <v>20350</v>
      </c>
      <c r="B22" s="2" t="s">
        <v>18</v>
      </c>
      <c r="C22" t="b">
        <f t="shared" ref="C22:Q22" si="20">C9&lt;3/1440</f>
        <v>1</v>
      </c>
      <c r="D22" t="b">
        <f t="shared" si="20"/>
        <v>1</v>
      </c>
      <c r="E22" t="b">
        <f t="shared" si="20"/>
        <v>1</v>
      </c>
      <c r="F22" t="b">
        <f t="shared" si="20"/>
        <v>1</v>
      </c>
      <c r="G22" t="b">
        <f t="shared" si="20"/>
        <v>1</v>
      </c>
      <c r="H22" t="b">
        <f t="shared" si="20"/>
        <v>1</v>
      </c>
      <c r="I22" t="b">
        <f t="shared" si="20"/>
        <v>1</v>
      </c>
      <c r="J22" t="b">
        <f t="shared" si="20"/>
        <v>1</v>
      </c>
      <c r="K22" t="b">
        <f t="shared" si="20"/>
        <v>1</v>
      </c>
      <c r="L22" t="b">
        <f t="shared" si="20"/>
        <v>1</v>
      </c>
      <c r="M22" t="b">
        <f t="shared" si="20"/>
        <v>1</v>
      </c>
      <c r="N22" t="b">
        <f t="shared" si="20"/>
        <v>1</v>
      </c>
      <c r="O22" t="b">
        <f t="shared" si="20"/>
        <v>1</v>
      </c>
      <c r="P22" t="b">
        <f t="shared" si="20"/>
        <v>1</v>
      </c>
      <c r="Q22" t="b">
        <f t="shared" si="20"/>
        <v>1</v>
      </c>
    </row>
    <row r="23" spans="1:18" x14ac:dyDescent="0.3">
      <c r="A23" s="2">
        <v>31200</v>
      </c>
      <c r="B23" s="2" t="s">
        <v>18</v>
      </c>
      <c r="C23" t="b">
        <f t="shared" ref="C23:Q23" si="21">C10&lt;3/1440</f>
        <v>0</v>
      </c>
      <c r="D23" t="b">
        <f t="shared" si="21"/>
        <v>0</v>
      </c>
      <c r="E23" t="b">
        <f t="shared" si="21"/>
        <v>0</v>
      </c>
      <c r="F23" t="b">
        <f t="shared" si="21"/>
        <v>0</v>
      </c>
      <c r="G23" t="b">
        <f t="shared" si="21"/>
        <v>1</v>
      </c>
      <c r="H23" t="b">
        <f t="shared" si="21"/>
        <v>1</v>
      </c>
      <c r="I23" t="b">
        <f t="shared" si="21"/>
        <v>1</v>
      </c>
      <c r="J23" t="b">
        <f t="shared" si="21"/>
        <v>1</v>
      </c>
      <c r="K23" t="b">
        <f t="shared" si="21"/>
        <v>1</v>
      </c>
      <c r="L23" t="b">
        <f t="shared" si="21"/>
        <v>1</v>
      </c>
      <c r="M23" t="b">
        <f t="shared" si="21"/>
        <v>1</v>
      </c>
      <c r="N23" t="b">
        <f t="shared" si="21"/>
        <v>1</v>
      </c>
      <c r="O23" t="b">
        <f t="shared" si="21"/>
        <v>1</v>
      </c>
      <c r="P23" t="b">
        <f t="shared" si="21"/>
        <v>1</v>
      </c>
      <c r="Q23" t="b">
        <f t="shared" si="21"/>
        <v>1</v>
      </c>
    </row>
    <row r="24" spans="1:18" x14ac:dyDescent="0.3">
      <c r="A24" s="2">
        <v>31200</v>
      </c>
      <c r="B24" s="2" t="s">
        <v>24</v>
      </c>
      <c r="C24" t="b">
        <f t="shared" ref="C24:D24" si="22">C11&lt;3/1440</f>
        <v>1</v>
      </c>
      <c r="D24" t="b">
        <f t="shared" si="22"/>
        <v>1</v>
      </c>
      <c r="E24" t="b">
        <f t="shared" ref="E24:O25" si="23">E11&lt;3/1440</f>
        <v>1</v>
      </c>
      <c r="F24" t="b">
        <f t="shared" si="23"/>
        <v>1</v>
      </c>
      <c r="G24" t="b">
        <f t="shared" si="23"/>
        <v>1</v>
      </c>
      <c r="H24" t="b">
        <f t="shared" si="23"/>
        <v>1</v>
      </c>
      <c r="I24" t="b">
        <f t="shared" si="23"/>
        <v>1</v>
      </c>
      <c r="J24" t="b">
        <f t="shared" si="23"/>
        <v>1</v>
      </c>
      <c r="K24" t="b">
        <f t="shared" si="23"/>
        <v>1</v>
      </c>
      <c r="L24" t="b">
        <f t="shared" si="23"/>
        <v>1</v>
      </c>
      <c r="M24" t="b">
        <f t="shared" si="23"/>
        <v>1</v>
      </c>
      <c r="N24" t="b">
        <f t="shared" si="23"/>
        <v>1</v>
      </c>
      <c r="O24" t="b">
        <f t="shared" si="23"/>
        <v>1</v>
      </c>
      <c r="P24" t="b">
        <f t="shared" ref="P24:Q24" si="24">P11&lt;3/1440</f>
        <v>1</v>
      </c>
      <c r="Q24" t="b">
        <f t="shared" si="24"/>
        <v>1</v>
      </c>
    </row>
    <row r="25" spans="1:18" x14ac:dyDescent="0.3">
      <c r="A25" s="2">
        <v>7900</v>
      </c>
      <c r="B25" s="2" t="s">
        <v>16</v>
      </c>
      <c r="C25" t="b">
        <f t="shared" ref="C25:D25" si="25">C12&lt;3/1440</f>
        <v>1</v>
      </c>
      <c r="D25" t="b">
        <f t="shared" si="25"/>
        <v>1</v>
      </c>
      <c r="E25" t="b">
        <f t="shared" si="23"/>
        <v>1</v>
      </c>
      <c r="F25" t="b">
        <f t="shared" si="23"/>
        <v>1</v>
      </c>
      <c r="G25" t="b">
        <f t="shared" si="23"/>
        <v>1</v>
      </c>
      <c r="H25" t="b">
        <f t="shared" si="23"/>
        <v>1</v>
      </c>
      <c r="I25" t="b">
        <f t="shared" si="23"/>
        <v>1</v>
      </c>
      <c r="J25" t="b">
        <f t="shared" si="23"/>
        <v>1</v>
      </c>
      <c r="K25" t="b">
        <f t="shared" si="23"/>
        <v>1</v>
      </c>
      <c r="L25" t="b">
        <f t="shared" si="23"/>
        <v>1</v>
      </c>
      <c r="M25" t="b">
        <f t="shared" si="23"/>
        <v>0</v>
      </c>
      <c r="N25" t="b">
        <f t="shared" si="23"/>
        <v>1</v>
      </c>
      <c r="O25" t="b">
        <f t="shared" si="23"/>
        <v>1</v>
      </c>
      <c r="P25" t="b">
        <f t="shared" ref="P25:Q25" si="26">P12&lt;3/1440</f>
        <v>1</v>
      </c>
      <c r="Q25" t="b">
        <f t="shared" si="26"/>
        <v>1</v>
      </c>
    </row>
    <row r="26" spans="1:18" x14ac:dyDescent="0.3">
      <c r="A26" t="s">
        <v>31</v>
      </c>
      <c r="C26" s="12">
        <f>COUNTIF(C16:C21,TRUE) / 6</f>
        <v>0.83333333333333337</v>
      </c>
      <c r="D26" s="12">
        <f t="shared" ref="D26:Q26" si="27">COUNTIF(D16:D21,TRUE) / 6</f>
        <v>0.83333333333333337</v>
      </c>
      <c r="E26" s="12">
        <f t="shared" si="27"/>
        <v>0.33333333333333331</v>
      </c>
      <c r="F26" s="12">
        <f t="shared" si="27"/>
        <v>0.33333333333333331</v>
      </c>
      <c r="G26" s="12">
        <f t="shared" si="27"/>
        <v>0.5</v>
      </c>
      <c r="H26" s="12">
        <f t="shared" si="27"/>
        <v>0.5</v>
      </c>
      <c r="I26" s="12">
        <f t="shared" si="27"/>
        <v>0.5</v>
      </c>
      <c r="J26" s="12">
        <f t="shared" si="27"/>
        <v>0.66666666666666663</v>
      </c>
      <c r="K26" s="12">
        <f t="shared" si="27"/>
        <v>0.66666666666666663</v>
      </c>
      <c r="L26" s="12">
        <f t="shared" si="27"/>
        <v>0.66666666666666663</v>
      </c>
      <c r="M26" s="12">
        <f t="shared" si="27"/>
        <v>0.66666666666666663</v>
      </c>
      <c r="N26" s="12">
        <f t="shared" si="27"/>
        <v>0.66666666666666663</v>
      </c>
      <c r="O26" s="12">
        <f t="shared" si="27"/>
        <v>0.83333333333333337</v>
      </c>
      <c r="P26" s="12">
        <f t="shared" si="27"/>
        <v>1</v>
      </c>
      <c r="Q26" s="12">
        <f t="shared" si="27"/>
        <v>1</v>
      </c>
    </row>
    <row r="28" spans="1:18" x14ac:dyDescent="0.3">
      <c r="A28" t="s">
        <v>33</v>
      </c>
      <c r="C28" s="3">
        <f t="shared" ref="C28:D28" si="28">C2-C1</f>
        <v>-2.0833333333333333E-3</v>
      </c>
      <c r="D28" s="3">
        <f t="shared" si="28"/>
        <v>-2.7777777777777779E-3</v>
      </c>
      <c r="E28" s="3">
        <f t="shared" ref="E28:O28" si="29">E2-E1</f>
        <v>-3.472222222222222E-3</v>
      </c>
      <c r="F28" s="3">
        <f t="shared" si="29"/>
        <v>-4.0046296296296297E-3</v>
      </c>
      <c r="G28" s="3">
        <f t="shared" si="29"/>
        <v>-2.8240740740740735E-3</v>
      </c>
      <c r="H28" s="3">
        <f t="shared" si="29"/>
        <v>-3.4953703703703644E-3</v>
      </c>
      <c r="I28" s="3">
        <f t="shared" si="29"/>
        <v>-4.0046296296296306E-3</v>
      </c>
      <c r="J28" s="3">
        <f t="shared" si="29"/>
        <v>2.7546296296296338E-3</v>
      </c>
      <c r="K28" s="3">
        <f t="shared" si="29"/>
        <v>2.0601851851851831E-3</v>
      </c>
      <c r="L28" s="3">
        <f t="shared" si="29"/>
        <v>1.3657407407407438E-3</v>
      </c>
      <c r="M28" s="3">
        <f t="shared" si="29"/>
        <v>6.712962962962931E-4</v>
      </c>
      <c r="N28" s="3">
        <f t="shared" si="29"/>
        <v>-2.3148148148147141E-5</v>
      </c>
      <c r="O28" s="3">
        <f t="shared" si="29"/>
        <v>-7.1759259259262728E-4</v>
      </c>
      <c r="P28" s="3">
        <f t="shared" ref="P28:Q28" si="30">P2-P1</f>
        <v>3.7037037037037056E-3</v>
      </c>
      <c r="Q28" s="3">
        <f t="shared" si="30"/>
        <v>2.3148148148148182E-4</v>
      </c>
      <c r="R28" t="s">
        <v>61</v>
      </c>
    </row>
    <row r="29" spans="1:18" x14ac:dyDescent="0.3">
      <c r="A29" t="s">
        <v>33</v>
      </c>
      <c r="C29" s="3">
        <f t="shared" ref="C29:D29" si="31">C1-C2</f>
        <v>2.0833333333333333E-3</v>
      </c>
      <c r="D29" s="3">
        <f t="shared" si="31"/>
        <v>2.7777777777777779E-3</v>
      </c>
      <c r="E29" s="3">
        <f t="shared" ref="E29:O29" si="32">E1-E2</f>
        <v>3.472222222222222E-3</v>
      </c>
      <c r="F29" s="3">
        <f t="shared" si="32"/>
        <v>4.0046296296296297E-3</v>
      </c>
      <c r="G29" s="3">
        <f t="shared" si="32"/>
        <v>2.8240740740740735E-3</v>
      </c>
      <c r="H29" s="3">
        <f t="shared" si="32"/>
        <v>3.4953703703703644E-3</v>
      </c>
      <c r="I29" s="3">
        <f t="shared" si="32"/>
        <v>4.0046296296296306E-3</v>
      </c>
      <c r="J29" s="3">
        <f t="shared" si="32"/>
        <v>-2.7546296296296338E-3</v>
      </c>
      <c r="K29" s="3">
        <f t="shared" si="32"/>
        <v>-2.0601851851851831E-3</v>
      </c>
      <c r="L29" s="3">
        <f t="shared" si="32"/>
        <v>-1.3657407407407438E-3</v>
      </c>
      <c r="M29" s="3">
        <f t="shared" si="32"/>
        <v>-6.712962962962931E-4</v>
      </c>
      <c r="N29" s="3">
        <f t="shared" si="32"/>
        <v>2.3148148148147141E-5</v>
      </c>
      <c r="O29" s="3">
        <f t="shared" si="32"/>
        <v>7.1759259259262728E-4</v>
      </c>
      <c r="P29" s="3">
        <f t="shared" ref="P29:Q29" si="33">P1-P2</f>
        <v>-3.7037037037037056E-3</v>
      </c>
      <c r="Q29" s="3">
        <f t="shared" si="33"/>
        <v>-2.3148148148148182E-4</v>
      </c>
      <c r="R29" t="s">
        <v>62</v>
      </c>
    </row>
    <row r="31" spans="1:18" x14ac:dyDescent="0.3">
      <c r="A31" t="s">
        <v>38</v>
      </c>
      <c r="C31" s="12">
        <f>(C20+C21+C23+C24+C25)/5</f>
        <v>0.6</v>
      </c>
      <c r="D31" s="12">
        <f t="shared" ref="D31:Q31" si="34">(D20+D21+D23+D24+D25)/5</f>
        <v>0.6</v>
      </c>
      <c r="E31" s="12">
        <f t="shared" si="34"/>
        <v>0.6</v>
      </c>
      <c r="F31" s="12">
        <f t="shared" si="34"/>
        <v>0.6</v>
      </c>
      <c r="G31" s="12">
        <f t="shared" si="34"/>
        <v>1</v>
      </c>
      <c r="H31" s="12">
        <f t="shared" si="34"/>
        <v>1</v>
      </c>
      <c r="I31" s="12">
        <f t="shared" si="34"/>
        <v>1</v>
      </c>
      <c r="J31" s="12">
        <f t="shared" si="34"/>
        <v>1</v>
      </c>
      <c r="K31" s="12">
        <f t="shared" si="34"/>
        <v>1</v>
      </c>
      <c r="L31" s="12">
        <f t="shared" si="34"/>
        <v>1</v>
      </c>
      <c r="M31" s="12">
        <f t="shared" si="34"/>
        <v>0.8</v>
      </c>
      <c r="N31" s="12">
        <f t="shared" si="34"/>
        <v>1</v>
      </c>
      <c r="O31" s="12">
        <f t="shared" si="34"/>
        <v>1</v>
      </c>
      <c r="P31" s="12">
        <f t="shared" si="34"/>
        <v>1</v>
      </c>
      <c r="Q31" s="12">
        <f t="shared" si="34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33E61-6E48-4ADB-A369-A65804939B45}">
  <dimension ref="A1:T31"/>
  <sheetViews>
    <sheetView workbookViewId="0">
      <selection activeCell="I6" sqref="I6"/>
    </sheetView>
  </sheetViews>
  <sheetFormatPr defaultRowHeight="14.4" x14ac:dyDescent="0.3"/>
  <cols>
    <col min="1" max="17" width="10.6640625" customWidth="1"/>
  </cols>
  <sheetData>
    <row r="1" spans="1:20" x14ac:dyDescent="0.3">
      <c r="A1" s="17" t="s">
        <v>0</v>
      </c>
      <c r="B1" s="18"/>
      <c r="C1" s="19">
        <v>2.0833333333333333E-3</v>
      </c>
      <c r="D1" s="19">
        <v>2.7777777777777779E-3</v>
      </c>
      <c r="E1" s="19">
        <v>3.472222222222222E-3</v>
      </c>
      <c r="F1" s="19">
        <v>4.1666666666666666E-3</v>
      </c>
      <c r="G1" s="19">
        <v>4.8611111111111103E-3</v>
      </c>
      <c r="H1" s="19">
        <v>5.5555555555555497E-3</v>
      </c>
      <c r="I1" s="19">
        <v>6.2500000000000003E-3</v>
      </c>
      <c r="J1" s="19">
        <v>6.9444444444444397E-3</v>
      </c>
      <c r="K1" s="19">
        <v>7.6388888888888904E-3</v>
      </c>
      <c r="L1" s="19">
        <v>8.3333333333333297E-3</v>
      </c>
      <c r="M1" s="19">
        <v>9.0277777777777804E-3</v>
      </c>
      <c r="N1" s="19">
        <v>9.7222222222222206E-3</v>
      </c>
      <c r="O1" s="19">
        <v>1.0416666666666701E-2</v>
      </c>
      <c r="P1" s="19">
        <v>1.3888888888888888E-2</v>
      </c>
      <c r="Q1" s="19">
        <v>1.7361111111111112E-2</v>
      </c>
      <c r="R1" t="s">
        <v>1</v>
      </c>
    </row>
    <row r="2" spans="1:20" x14ac:dyDescent="0.3">
      <c r="A2" s="20" t="s">
        <v>2</v>
      </c>
      <c r="B2" s="21" t="s">
        <v>3</v>
      </c>
      <c r="C2" s="30" t="s">
        <v>21</v>
      </c>
      <c r="D2" s="30" t="s">
        <v>21</v>
      </c>
      <c r="E2" s="22" t="s">
        <v>21</v>
      </c>
      <c r="F2" s="22" t="s">
        <v>21</v>
      </c>
      <c r="G2" s="22" t="s">
        <v>21</v>
      </c>
      <c r="H2" s="22" t="s">
        <v>21</v>
      </c>
      <c r="I2" s="22" t="s">
        <v>21</v>
      </c>
      <c r="J2" s="22" t="s">
        <v>21</v>
      </c>
      <c r="K2" s="22" t="s">
        <v>21</v>
      </c>
      <c r="L2" s="22" t="s">
        <v>21</v>
      </c>
      <c r="M2" s="22" t="s">
        <v>21</v>
      </c>
      <c r="N2" s="22" t="s">
        <v>21</v>
      </c>
      <c r="O2" s="22" t="s">
        <v>21</v>
      </c>
      <c r="P2" s="22" t="s">
        <v>21</v>
      </c>
      <c r="Q2" s="22" t="s">
        <v>21</v>
      </c>
      <c r="R2" t="s">
        <v>4</v>
      </c>
      <c r="T2" t="s">
        <v>64</v>
      </c>
    </row>
    <row r="3" spans="1:20" x14ac:dyDescent="0.3">
      <c r="A3" s="2">
        <v>1700</v>
      </c>
      <c r="B3" s="7" t="s">
        <v>6</v>
      </c>
      <c r="C3" s="25">
        <v>1.8518518518518519E-3</v>
      </c>
      <c r="D3" s="25">
        <v>1.8518518518518519E-3</v>
      </c>
      <c r="E3" s="3">
        <v>1.0879629629629629E-3</v>
      </c>
      <c r="F3" s="3">
        <v>1.5277777777777779E-3</v>
      </c>
      <c r="G3" s="3">
        <v>1.136574074074074E-2</v>
      </c>
      <c r="H3" s="3">
        <v>1.136574074074074E-2</v>
      </c>
      <c r="I3" s="3">
        <v>1.136574074074074E-2</v>
      </c>
      <c r="J3" s="3">
        <v>2.0833333333333333E-3</v>
      </c>
      <c r="K3" s="3">
        <v>2.0833333333333333E-3</v>
      </c>
      <c r="L3" s="3">
        <v>1.136574074074074E-2</v>
      </c>
      <c r="M3" s="3">
        <v>1.136574074074074E-2</v>
      </c>
      <c r="N3" s="3">
        <v>1.136574074074074E-2</v>
      </c>
      <c r="O3" s="3">
        <v>1.136574074074074E-2</v>
      </c>
      <c r="P3" s="3">
        <v>1.5509259259259259E-3</v>
      </c>
      <c r="Q3" s="3">
        <v>1.5509259259259259E-3</v>
      </c>
      <c r="R3" t="s">
        <v>7</v>
      </c>
    </row>
    <row r="4" spans="1:20" x14ac:dyDescent="0.3">
      <c r="A4" s="2">
        <v>7000</v>
      </c>
      <c r="B4" s="7" t="s">
        <v>9</v>
      </c>
      <c r="C4" s="25">
        <v>1.6666666666666668E-3</v>
      </c>
      <c r="D4" s="25">
        <v>1.6666666666666668E-3</v>
      </c>
      <c r="E4" s="3">
        <v>9.2592592592592596E-4</v>
      </c>
      <c r="F4" s="3">
        <v>1.3657407407407407E-3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1.3657407407407407E-3</v>
      </c>
      <c r="Q4" s="3">
        <v>1.3657407407407407E-3</v>
      </c>
      <c r="R4" t="s">
        <v>10</v>
      </c>
    </row>
    <row r="5" spans="1:20" x14ac:dyDescent="0.3">
      <c r="A5" s="2">
        <v>31200</v>
      </c>
      <c r="B5" s="7" t="s">
        <v>11</v>
      </c>
      <c r="C5" s="25">
        <v>4.3981481481481481E-4</v>
      </c>
      <c r="D5" s="25">
        <v>1.25E-3</v>
      </c>
      <c r="E5" s="3">
        <v>2.8703703703703703E-3</v>
      </c>
      <c r="F5" s="3">
        <v>2.8703703703703703E-3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t="s">
        <v>12</v>
      </c>
    </row>
    <row r="6" spans="1:20" x14ac:dyDescent="0.3">
      <c r="A6" s="2">
        <v>7900</v>
      </c>
      <c r="B6" s="7" t="s">
        <v>13</v>
      </c>
      <c r="C6" s="25">
        <v>0</v>
      </c>
      <c r="D6" s="25">
        <v>3.7037037037037035E-4</v>
      </c>
      <c r="E6" s="3">
        <v>1.0648148148148149E-3</v>
      </c>
      <c r="F6" s="3">
        <v>1.7592592592592592E-3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t="s">
        <v>14</v>
      </c>
    </row>
    <row r="7" spans="1:20" x14ac:dyDescent="0.3">
      <c r="A7" s="2">
        <v>31300</v>
      </c>
      <c r="B7" s="7" t="s">
        <v>3</v>
      </c>
      <c r="C7" s="25">
        <v>0</v>
      </c>
      <c r="D7" s="25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t="s">
        <v>15</v>
      </c>
    </row>
    <row r="8" spans="1:20" x14ac:dyDescent="0.3">
      <c r="A8" s="2">
        <v>3600</v>
      </c>
      <c r="B8" s="7" t="s">
        <v>16</v>
      </c>
      <c r="C8" s="3">
        <v>9.4907407407407408E-4</v>
      </c>
      <c r="D8" s="3">
        <v>9.4907407407407408E-4</v>
      </c>
      <c r="E8" s="3">
        <v>9.4907407407407408E-4</v>
      </c>
      <c r="F8" s="3">
        <v>9.4907407407407408E-4</v>
      </c>
      <c r="G8" s="3">
        <v>9.4907407407407408E-4</v>
      </c>
      <c r="H8" s="3">
        <v>9.4907407407407408E-4</v>
      </c>
      <c r="I8" s="3">
        <v>9.4907407407407408E-4</v>
      </c>
      <c r="J8" s="3">
        <v>9.4907407407407408E-4</v>
      </c>
      <c r="K8" s="3">
        <v>9.4907407407407408E-4</v>
      </c>
      <c r="L8" s="3">
        <v>9.4907407407407408E-4</v>
      </c>
      <c r="M8" s="3">
        <v>9.4907407407407408E-4</v>
      </c>
      <c r="N8" s="3">
        <v>9.4907407407407408E-4</v>
      </c>
      <c r="O8" s="3">
        <v>9.4907407407407408E-4</v>
      </c>
      <c r="P8" s="3">
        <v>9.4907407407407408E-4</v>
      </c>
      <c r="Q8" s="3">
        <v>9.4907407407407408E-4</v>
      </c>
    </row>
    <row r="9" spans="1:20" x14ac:dyDescent="0.3">
      <c r="A9" s="2">
        <v>20350</v>
      </c>
      <c r="B9" s="7" t="s">
        <v>18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3">
        <v>6.9444444444444447E-4</v>
      </c>
      <c r="P9" s="22">
        <v>0</v>
      </c>
      <c r="Q9" s="22">
        <v>0</v>
      </c>
      <c r="R9" t="s">
        <v>19</v>
      </c>
    </row>
    <row r="10" spans="1:20" x14ac:dyDescent="0.3">
      <c r="A10" s="4">
        <v>31200</v>
      </c>
      <c r="B10" s="8" t="s">
        <v>18</v>
      </c>
      <c r="C10" s="28">
        <v>2.3148148148148147E-3</v>
      </c>
      <c r="D10" s="28">
        <v>2.8935185185185184E-3</v>
      </c>
      <c r="E10" s="5">
        <v>3.5879629629629629E-3</v>
      </c>
      <c r="F10" s="5">
        <v>4.2824074074074075E-3</v>
      </c>
      <c r="G10" s="5">
        <v>1.1574074074074075E-4</v>
      </c>
      <c r="H10" s="5">
        <v>1.1574074074074075E-4</v>
      </c>
      <c r="I10" s="5">
        <v>1.1574074074074075E-4</v>
      </c>
      <c r="J10" s="5">
        <v>1.1574074074074075E-4</v>
      </c>
      <c r="K10" s="5">
        <v>1.1574074074074075E-4</v>
      </c>
      <c r="L10" s="5">
        <v>1.1574074074074075E-4</v>
      </c>
      <c r="M10" s="5">
        <v>1.1574074074074075E-4</v>
      </c>
      <c r="N10" s="5">
        <v>1.1574074074074075E-4</v>
      </c>
      <c r="O10" s="5">
        <v>1.1574074074074075E-4</v>
      </c>
      <c r="P10" s="5">
        <v>1.1574074074074075E-4</v>
      </c>
      <c r="Q10" s="5">
        <v>1.1574074074074075E-4</v>
      </c>
    </row>
    <row r="11" spans="1:20" x14ac:dyDescent="0.3">
      <c r="A11" s="2">
        <v>31200</v>
      </c>
      <c r="B11" s="7" t="s">
        <v>24</v>
      </c>
      <c r="C11" s="3">
        <v>1.6203703703703703E-4</v>
      </c>
      <c r="D11" s="25">
        <v>2.7777777777777778E-4</v>
      </c>
      <c r="E11" s="3">
        <v>1.8749999999999999E-3</v>
      </c>
      <c r="F11" s="3">
        <v>1.8749999999999999E-3</v>
      </c>
      <c r="G11" s="3">
        <v>1.6203703703703703E-4</v>
      </c>
      <c r="H11" s="3">
        <v>1.6203703703703703E-4</v>
      </c>
      <c r="I11" s="3">
        <v>1.6203703703703703E-4</v>
      </c>
      <c r="J11" s="3">
        <v>1.6203703703703703E-4</v>
      </c>
      <c r="K11" s="3">
        <v>1.6203703703703703E-4</v>
      </c>
      <c r="L11" s="3">
        <v>1.6203703703703703E-4</v>
      </c>
      <c r="M11" s="3">
        <v>1.6203703703703703E-4</v>
      </c>
      <c r="N11" s="3">
        <v>1.6203703703703703E-4</v>
      </c>
      <c r="O11" s="3">
        <v>1.6203703703703703E-4</v>
      </c>
      <c r="P11" s="3">
        <v>1.6203703703703703E-4</v>
      </c>
      <c r="Q11" s="3">
        <v>1.6203703703703703E-4</v>
      </c>
    </row>
    <row r="12" spans="1:20" x14ac:dyDescent="0.3">
      <c r="A12" s="2">
        <v>7900</v>
      </c>
      <c r="B12" s="7" t="s">
        <v>16</v>
      </c>
      <c r="C12" s="25">
        <v>0</v>
      </c>
      <c r="D12" s="25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</row>
    <row r="13" spans="1:20" x14ac:dyDescent="0.3">
      <c r="A13" s="9" t="s">
        <v>25</v>
      </c>
      <c r="B13" s="9"/>
      <c r="C13" s="10">
        <f t="shared" ref="C13:Q13" si="0">SUM(C3:C8)</f>
        <v>4.9074074074074081E-3</v>
      </c>
      <c r="D13" s="10">
        <f t="shared" si="0"/>
        <v>6.0879629629629643E-3</v>
      </c>
      <c r="E13" s="10">
        <f t="shared" si="0"/>
        <v>6.898148148148148E-3</v>
      </c>
      <c r="F13" s="10">
        <f t="shared" si="0"/>
        <v>8.4722222222222213E-3</v>
      </c>
      <c r="G13" s="10">
        <f t="shared" si="0"/>
        <v>1.2314814814814815E-2</v>
      </c>
      <c r="H13" s="10">
        <f t="shared" si="0"/>
        <v>1.2314814814814815E-2</v>
      </c>
      <c r="I13" s="10">
        <f t="shared" si="0"/>
        <v>1.2314814814814815E-2</v>
      </c>
      <c r="J13" s="10">
        <f t="shared" si="0"/>
        <v>3.0324074074074073E-3</v>
      </c>
      <c r="K13" s="10">
        <f t="shared" si="0"/>
        <v>3.0324074074074073E-3</v>
      </c>
      <c r="L13" s="10">
        <f t="shared" si="0"/>
        <v>1.2314814814814815E-2</v>
      </c>
      <c r="M13" s="10">
        <f t="shared" si="0"/>
        <v>1.2314814814814815E-2</v>
      </c>
      <c r="N13" s="10">
        <f t="shared" si="0"/>
        <v>1.2314814814814815E-2</v>
      </c>
      <c r="O13" s="10">
        <f t="shared" si="0"/>
        <v>1.2314814814814815E-2</v>
      </c>
      <c r="P13" s="10">
        <f t="shared" si="0"/>
        <v>3.8657407407407403E-3</v>
      </c>
      <c r="Q13" s="10">
        <f t="shared" si="0"/>
        <v>3.8657407407407403E-3</v>
      </c>
    </row>
    <row r="15" spans="1:20" x14ac:dyDescent="0.3">
      <c r="A15" s="2" t="s">
        <v>2</v>
      </c>
      <c r="B15" s="2" t="s">
        <v>3</v>
      </c>
      <c r="C15" t="b">
        <f t="shared" ref="C15:D15" si="1">C2&lt;6/1440</f>
        <v>0</v>
      </c>
      <c r="D15" t="b">
        <f t="shared" si="1"/>
        <v>0</v>
      </c>
      <c r="E15" t="b">
        <f t="shared" ref="E15:O15" si="2">E2&lt;6/1440</f>
        <v>0</v>
      </c>
      <c r="F15" t="b">
        <f t="shared" si="2"/>
        <v>0</v>
      </c>
      <c r="G15" t="b">
        <f t="shared" si="2"/>
        <v>0</v>
      </c>
      <c r="H15" t="b">
        <f t="shared" si="2"/>
        <v>0</v>
      </c>
      <c r="I15" t="b">
        <f t="shared" si="2"/>
        <v>0</v>
      </c>
      <c r="J15" t="b">
        <f t="shared" si="2"/>
        <v>0</v>
      </c>
      <c r="K15" t="b">
        <f t="shared" si="2"/>
        <v>0</v>
      </c>
      <c r="L15" t="b">
        <f t="shared" si="2"/>
        <v>0</v>
      </c>
      <c r="M15" t="b">
        <f t="shared" si="2"/>
        <v>0</v>
      </c>
      <c r="N15" t="b">
        <f t="shared" si="2"/>
        <v>0</v>
      </c>
      <c r="O15" t="b">
        <f t="shared" si="2"/>
        <v>0</v>
      </c>
      <c r="P15" t="b">
        <f t="shared" ref="P15:Q15" si="3">P2&lt;6/1440</f>
        <v>0</v>
      </c>
      <c r="Q15" t="b">
        <f t="shared" si="3"/>
        <v>0</v>
      </c>
    </row>
    <row r="16" spans="1:20" x14ac:dyDescent="0.3">
      <c r="A16" s="2">
        <v>1700</v>
      </c>
      <c r="B16" s="2" t="s">
        <v>6</v>
      </c>
      <c r="C16" t="b">
        <f t="shared" ref="C16:D16" si="4">C3&lt;3/1440</f>
        <v>1</v>
      </c>
      <c r="D16" t="b">
        <f t="shared" si="4"/>
        <v>1</v>
      </c>
      <c r="E16" t="b">
        <f t="shared" ref="E16:E21" si="5">E3&lt;3/1440</f>
        <v>1</v>
      </c>
      <c r="F16" t="b">
        <f t="shared" ref="F16:O16" si="6">F3&lt;3/1440</f>
        <v>1</v>
      </c>
      <c r="G16" t="b">
        <f t="shared" ref="G16:G21" si="7">G3&lt;3/1440</f>
        <v>0</v>
      </c>
      <c r="H16" t="b">
        <f t="shared" si="6"/>
        <v>0</v>
      </c>
      <c r="I16" t="b">
        <f t="shared" si="6"/>
        <v>0</v>
      </c>
      <c r="J16" t="b">
        <f t="shared" si="6"/>
        <v>0</v>
      </c>
      <c r="K16" t="b">
        <f t="shared" si="6"/>
        <v>0</v>
      </c>
      <c r="L16" t="b">
        <f t="shared" si="6"/>
        <v>0</v>
      </c>
      <c r="M16" t="b">
        <f t="shared" si="6"/>
        <v>0</v>
      </c>
      <c r="N16" t="b">
        <f t="shared" si="6"/>
        <v>0</v>
      </c>
      <c r="O16" t="b">
        <f t="shared" si="6"/>
        <v>0</v>
      </c>
      <c r="P16" t="b">
        <f t="shared" ref="P16:Q16" si="8">P3&lt;3/1440</f>
        <v>1</v>
      </c>
      <c r="Q16" t="b">
        <f t="shared" si="8"/>
        <v>1</v>
      </c>
    </row>
    <row r="17" spans="1:18" x14ac:dyDescent="0.3">
      <c r="A17" s="2">
        <v>7000</v>
      </c>
      <c r="B17" s="2" t="s">
        <v>9</v>
      </c>
      <c r="C17" t="b">
        <f t="shared" ref="C17:D17" si="9">C4&lt;3/1440</f>
        <v>1</v>
      </c>
      <c r="D17" t="b">
        <f t="shared" si="9"/>
        <v>1</v>
      </c>
      <c r="E17" t="b">
        <f t="shared" si="5"/>
        <v>1</v>
      </c>
      <c r="F17" t="b">
        <f>F4&lt;3/1440</f>
        <v>1</v>
      </c>
      <c r="G17" t="b">
        <f t="shared" si="7"/>
        <v>1</v>
      </c>
      <c r="H17" t="b">
        <f t="shared" ref="H17:O21" si="10">H4&lt;3/1440</f>
        <v>1</v>
      </c>
      <c r="I17" t="b">
        <f t="shared" si="10"/>
        <v>1</v>
      </c>
      <c r="J17" t="b">
        <f t="shared" si="10"/>
        <v>1</v>
      </c>
      <c r="K17" t="b">
        <f t="shared" si="10"/>
        <v>1</v>
      </c>
      <c r="L17" t="b">
        <f t="shared" si="10"/>
        <v>1</v>
      </c>
      <c r="M17" t="b">
        <f t="shared" si="10"/>
        <v>1</v>
      </c>
      <c r="N17" t="b">
        <f t="shared" si="10"/>
        <v>1</v>
      </c>
      <c r="O17" t="b">
        <f t="shared" si="10"/>
        <v>1</v>
      </c>
      <c r="P17" t="b">
        <f t="shared" ref="P17:Q17" si="11">P4&lt;3/1440</f>
        <v>1</v>
      </c>
      <c r="Q17" t="b">
        <f t="shared" si="11"/>
        <v>1</v>
      </c>
    </row>
    <row r="18" spans="1:18" x14ac:dyDescent="0.3">
      <c r="A18" s="2">
        <v>31200</v>
      </c>
      <c r="B18" s="2" t="s">
        <v>11</v>
      </c>
      <c r="C18" t="b">
        <f t="shared" ref="C18:D18" si="12">C5&lt;3/1440</f>
        <v>1</v>
      </c>
      <c r="D18" t="b">
        <f t="shared" si="12"/>
        <v>1</v>
      </c>
      <c r="E18" t="b">
        <f t="shared" si="5"/>
        <v>0</v>
      </c>
      <c r="F18" t="b">
        <f>F5&lt;3/1440</f>
        <v>0</v>
      </c>
      <c r="G18" t="b">
        <f t="shared" si="7"/>
        <v>1</v>
      </c>
      <c r="H18" t="b">
        <f t="shared" si="10"/>
        <v>1</v>
      </c>
      <c r="I18" t="b">
        <f t="shared" si="10"/>
        <v>1</v>
      </c>
      <c r="J18" t="b">
        <f t="shared" si="10"/>
        <v>1</v>
      </c>
      <c r="K18" t="b">
        <f t="shared" si="10"/>
        <v>1</v>
      </c>
      <c r="L18" t="b">
        <f t="shared" si="10"/>
        <v>1</v>
      </c>
      <c r="M18" t="b">
        <f t="shared" si="10"/>
        <v>1</v>
      </c>
      <c r="N18" t="b">
        <f t="shared" si="10"/>
        <v>1</v>
      </c>
      <c r="O18" t="b">
        <f t="shared" si="10"/>
        <v>1</v>
      </c>
      <c r="P18" t="b">
        <f t="shared" ref="P18:Q18" si="13">P5&lt;3/1440</f>
        <v>1</v>
      </c>
      <c r="Q18" t="b">
        <f t="shared" si="13"/>
        <v>1</v>
      </c>
    </row>
    <row r="19" spans="1:18" x14ac:dyDescent="0.3">
      <c r="A19" s="2">
        <v>7900</v>
      </c>
      <c r="B19" s="2" t="s">
        <v>13</v>
      </c>
      <c r="C19" t="b">
        <f t="shared" ref="C19:D19" si="14">C6&lt;3/1440</f>
        <v>1</v>
      </c>
      <c r="D19" t="b">
        <f t="shared" si="14"/>
        <v>1</v>
      </c>
      <c r="E19" t="b">
        <f t="shared" si="5"/>
        <v>1</v>
      </c>
      <c r="F19" t="b">
        <f>F6&lt;3/1440</f>
        <v>1</v>
      </c>
      <c r="G19" t="b">
        <f t="shared" si="7"/>
        <v>1</v>
      </c>
      <c r="H19" t="b">
        <f t="shared" si="10"/>
        <v>1</v>
      </c>
      <c r="I19" t="b">
        <f t="shared" si="10"/>
        <v>1</v>
      </c>
      <c r="J19" t="b">
        <f t="shared" si="10"/>
        <v>1</v>
      </c>
      <c r="K19" t="b">
        <f t="shared" si="10"/>
        <v>1</v>
      </c>
      <c r="L19" t="b">
        <f t="shared" si="10"/>
        <v>1</v>
      </c>
      <c r="M19" t="b">
        <f t="shared" si="10"/>
        <v>1</v>
      </c>
      <c r="N19" t="b">
        <f t="shared" si="10"/>
        <v>1</v>
      </c>
      <c r="O19" t="b">
        <f t="shared" si="10"/>
        <v>1</v>
      </c>
      <c r="P19" t="b">
        <f t="shared" ref="P19:Q19" si="15">P6&lt;3/1440</f>
        <v>1</v>
      </c>
      <c r="Q19" t="b">
        <f t="shared" si="15"/>
        <v>1</v>
      </c>
    </row>
    <row r="20" spans="1:18" x14ac:dyDescent="0.3">
      <c r="A20" s="2">
        <v>31300</v>
      </c>
      <c r="B20" s="2" t="s">
        <v>3</v>
      </c>
      <c r="C20" t="b">
        <f t="shared" ref="C20:D21" si="16">C7&lt;3/1440</f>
        <v>1</v>
      </c>
      <c r="D20" t="b">
        <f t="shared" si="16"/>
        <v>1</v>
      </c>
      <c r="E20" t="b">
        <f t="shared" si="5"/>
        <v>1</v>
      </c>
      <c r="F20" t="b">
        <f>F7&lt;3/1440</f>
        <v>1</v>
      </c>
      <c r="G20" t="b">
        <f t="shared" si="7"/>
        <v>1</v>
      </c>
      <c r="H20" t="b">
        <f t="shared" si="10"/>
        <v>1</v>
      </c>
      <c r="I20" t="b">
        <f t="shared" si="10"/>
        <v>1</v>
      </c>
      <c r="J20" t="b">
        <f t="shared" si="10"/>
        <v>1</v>
      </c>
      <c r="K20" t="b">
        <f t="shared" si="10"/>
        <v>1</v>
      </c>
      <c r="L20" t="b">
        <f t="shared" si="10"/>
        <v>1</v>
      </c>
      <c r="M20" t="b">
        <f t="shared" si="10"/>
        <v>1</v>
      </c>
      <c r="N20" t="b">
        <f t="shared" si="10"/>
        <v>1</v>
      </c>
      <c r="O20" t="b">
        <f t="shared" si="10"/>
        <v>1</v>
      </c>
      <c r="P20" t="b">
        <f t="shared" ref="P20:Q21" si="17">P7&lt;3/1440</f>
        <v>1</v>
      </c>
      <c r="Q20" t="b">
        <f t="shared" si="17"/>
        <v>1</v>
      </c>
    </row>
    <row r="21" spans="1:18" x14ac:dyDescent="0.3">
      <c r="A21" s="2">
        <v>3600</v>
      </c>
      <c r="B21" s="2" t="s">
        <v>16</v>
      </c>
      <c r="C21" t="b">
        <f t="shared" si="16"/>
        <v>1</v>
      </c>
      <c r="D21" t="b">
        <f t="shared" si="16"/>
        <v>1</v>
      </c>
      <c r="E21" t="b">
        <f t="shared" si="5"/>
        <v>1</v>
      </c>
      <c r="F21" t="b">
        <f>F8&lt;3/1440</f>
        <v>1</v>
      </c>
      <c r="G21" t="b">
        <f t="shared" si="7"/>
        <v>1</v>
      </c>
      <c r="H21" t="b">
        <f t="shared" si="10"/>
        <v>1</v>
      </c>
      <c r="I21" t="b">
        <f t="shared" si="10"/>
        <v>1</v>
      </c>
      <c r="J21" t="b">
        <f t="shared" si="10"/>
        <v>1</v>
      </c>
      <c r="K21" t="b">
        <f t="shared" si="10"/>
        <v>1</v>
      </c>
      <c r="L21" t="b">
        <f t="shared" si="10"/>
        <v>1</v>
      </c>
      <c r="M21" t="b">
        <f t="shared" si="10"/>
        <v>1</v>
      </c>
      <c r="N21" t="b">
        <f t="shared" si="10"/>
        <v>1</v>
      </c>
      <c r="O21" t="b">
        <f t="shared" si="10"/>
        <v>1</v>
      </c>
      <c r="P21" t="b">
        <f t="shared" si="17"/>
        <v>1</v>
      </c>
      <c r="Q21" t="b">
        <f t="shared" si="17"/>
        <v>1</v>
      </c>
    </row>
    <row r="22" spans="1:18" x14ac:dyDescent="0.3">
      <c r="A22" s="2">
        <v>20350</v>
      </c>
      <c r="B22" s="2" t="s">
        <v>18</v>
      </c>
      <c r="C22" t="b">
        <f t="shared" ref="C22:D22" si="18">C9&lt;3/1440</f>
        <v>1</v>
      </c>
      <c r="D22" t="b">
        <f t="shared" si="18"/>
        <v>1</v>
      </c>
      <c r="E22" t="b">
        <f t="shared" ref="E22:O22" si="19">E9&lt;3/1440</f>
        <v>1</v>
      </c>
      <c r="F22" t="b">
        <f t="shared" si="19"/>
        <v>1</v>
      </c>
      <c r="G22" t="b">
        <f t="shared" si="19"/>
        <v>1</v>
      </c>
      <c r="H22" t="b">
        <f t="shared" si="19"/>
        <v>1</v>
      </c>
      <c r="I22" t="b">
        <f t="shared" si="19"/>
        <v>1</v>
      </c>
      <c r="J22" t="b">
        <f t="shared" si="19"/>
        <v>1</v>
      </c>
      <c r="K22" t="b">
        <f t="shared" si="19"/>
        <v>1</v>
      </c>
      <c r="L22" t="b">
        <f t="shared" si="19"/>
        <v>1</v>
      </c>
      <c r="M22" t="b">
        <f t="shared" si="19"/>
        <v>1</v>
      </c>
      <c r="N22" t="b">
        <f t="shared" si="19"/>
        <v>1</v>
      </c>
      <c r="O22" t="b">
        <f t="shared" si="19"/>
        <v>1</v>
      </c>
      <c r="P22" t="b">
        <f t="shared" ref="P22:Q22" si="20">P9&lt;3/1440</f>
        <v>1</v>
      </c>
      <c r="Q22" t="b">
        <f t="shared" si="20"/>
        <v>1</v>
      </c>
    </row>
    <row r="23" spans="1:18" x14ac:dyDescent="0.3">
      <c r="A23" s="2">
        <v>31200</v>
      </c>
      <c r="B23" s="2" t="s">
        <v>18</v>
      </c>
      <c r="C23" t="b">
        <f t="shared" ref="C23:D23" si="21">C10&lt;3/1440</f>
        <v>0</v>
      </c>
      <c r="D23" t="b">
        <f t="shared" si="21"/>
        <v>0</v>
      </c>
      <c r="E23" t="b">
        <f t="shared" ref="E23:O23" si="22">E10&lt;3/1440</f>
        <v>0</v>
      </c>
      <c r="F23" t="b">
        <f t="shared" si="22"/>
        <v>0</v>
      </c>
      <c r="G23" t="b">
        <f t="shared" si="22"/>
        <v>1</v>
      </c>
      <c r="H23" t="b">
        <f t="shared" si="22"/>
        <v>1</v>
      </c>
      <c r="I23" t="b">
        <f t="shared" si="22"/>
        <v>1</v>
      </c>
      <c r="J23" t="b">
        <f t="shared" si="22"/>
        <v>1</v>
      </c>
      <c r="K23" t="b">
        <f t="shared" si="22"/>
        <v>1</v>
      </c>
      <c r="L23" t="b">
        <f t="shared" si="22"/>
        <v>1</v>
      </c>
      <c r="M23" t="b">
        <f t="shared" si="22"/>
        <v>1</v>
      </c>
      <c r="N23" t="b">
        <f t="shared" si="22"/>
        <v>1</v>
      </c>
      <c r="O23" t="b">
        <f t="shared" si="22"/>
        <v>1</v>
      </c>
      <c r="P23" t="b">
        <f t="shared" ref="P23:Q23" si="23">P10&lt;3/1440</f>
        <v>1</v>
      </c>
      <c r="Q23" t="b">
        <f t="shared" si="23"/>
        <v>1</v>
      </c>
    </row>
    <row r="24" spans="1:18" x14ac:dyDescent="0.3">
      <c r="A24" s="2">
        <v>31200</v>
      </c>
      <c r="B24" s="2" t="s">
        <v>24</v>
      </c>
      <c r="C24" t="b">
        <f t="shared" ref="C24:D24" si="24">C10&lt;3/1440</f>
        <v>0</v>
      </c>
      <c r="D24" t="b">
        <f t="shared" si="24"/>
        <v>0</v>
      </c>
      <c r="E24" t="b">
        <f t="shared" ref="E24:O24" si="25">E10&lt;3/1440</f>
        <v>0</v>
      </c>
      <c r="F24" t="b">
        <f t="shared" si="25"/>
        <v>0</v>
      </c>
      <c r="G24" t="b">
        <f t="shared" si="25"/>
        <v>1</v>
      </c>
      <c r="H24" t="b">
        <f t="shared" si="25"/>
        <v>1</v>
      </c>
      <c r="I24" t="b">
        <f t="shared" si="25"/>
        <v>1</v>
      </c>
      <c r="J24" t="b">
        <f t="shared" si="25"/>
        <v>1</v>
      </c>
      <c r="K24" t="b">
        <f t="shared" si="25"/>
        <v>1</v>
      </c>
      <c r="L24" t="b">
        <f t="shared" si="25"/>
        <v>1</v>
      </c>
      <c r="M24" t="b">
        <f t="shared" si="25"/>
        <v>1</v>
      </c>
      <c r="N24" t="b">
        <f t="shared" si="25"/>
        <v>1</v>
      </c>
      <c r="O24" t="b">
        <f t="shared" si="25"/>
        <v>1</v>
      </c>
      <c r="P24" t="b">
        <f t="shared" ref="P24:Q24" si="26">P10&lt;3/1440</f>
        <v>1</v>
      </c>
      <c r="Q24" t="b">
        <f t="shared" si="26"/>
        <v>1</v>
      </c>
    </row>
    <row r="25" spans="1:18" x14ac:dyDescent="0.3">
      <c r="A25" s="2">
        <v>7900</v>
      </c>
      <c r="B25" s="2" t="s">
        <v>16</v>
      </c>
      <c r="C25" t="b">
        <f t="shared" ref="C25:D25" si="27">C12&lt;3/1440</f>
        <v>1</v>
      </c>
      <c r="D25" t="b">
        <f t="shared" si="27"/>
        <v>1</v>
      </c>
      <c r="E25" t="b">
        <f t="shared" ref="E25:O25" si="28">E12&lt;3/1440</f>
        <v>1</v>
      </c>
      <c r="F25" t="b">
        <f t="shared" si="28"/>
        <v>1</v>
      </c>
      <c r="G25" t="b">
        <f t="shared" si="28"/>
        <v>1</v>
      </c>
      <c r="H25" t="b">
        <f t="shared" si="28"/>
        <v>1</v>
      </c>
      <c r="I25" t="b">
        <f t="shared" si="28"/>
        <v>1</v>
      </c>
      <c r="J25" t="b">
        <f t="shared" si="28"/>
        <v>1</v>
      </c>
      <c r="K25" t="b">
        <f t="shared" si="28"/>
        <v>1</v>
      </c>
      <c r="L25" t="b">
        <f t="shared" si="28"/>
        <v>1</v>
      </c>
      <c r="M25" t="b">
        <f t="shared" si="28"/>
        <v>1</v>
      </c>
      <c r="N25" t="b">
        <f t="shared" si="28"/>
        <v>1</v>
      </c>
      <c r="O25" t="b">
        <f t="shared" si="28"/>
        <v>1</v>
      </c>
      <c r="P25" t="b">
        <f t="shared" ref="P25:Q25" si="29">P12&lt;3/1440</f>
        <v>1</v>
      </c>
      <c r="Q25" t="b">
        <f t="shared" si="29"/>
        <v>1</v>
      </c>
    </row>
    <row r="26" spans="1:18" x14ac:dyDescent="0.3">
      <c r="A26" t="s">
        <v>31</v>
      </c>
      <c r="C26" s="12">
        <f>COUNTIF(C16:C21,TRUE) / 6</f>
        <v>1</v>
      </c>
      <c r="D26" s="12">
        <f t="shared" ref="D26:Q26" si="30">COUNTIF(D16:D21,TRUE) / 6</f>
        <v>1</v>
      </c>
      <c r="E26" s="12">
        <f t="shared" si="30"/>
        <v>0.83333333333333337</v>
      </c>
      <c r="F26" s="12">
        <f t="shared" si="30"/>
        <v>0.83333333333333337</v>
      </c>
      <c r="G26" s="12">
        <f t="shared" si="30"/>
        <v>0.83333333333333337</v>
      </c>
      <c r="H26" s="12">
        <f t="shared" si="30"/>
        <v>0.83333333333333337</v>
      </c>
      <c r="I26" s="12">
        <f t="shared" si="30"/>
        <v>0.83333333333333337</v>
      </c>
      <c r="J26" s="12">
        <f t="shared" si="30"/>
        <v>0.83333333333333337</v>
      </c>
      <c r="K26" s="12">
        <f t="shared" si="30"/>
        <v>0.83333333333333337</v>
      </c>
      <c r="L26" s="12">
        <f t="shared" si="30"/>
        <v>0.83333333333333337</v>
      </c>
      <c r="M26" s="12">
        <f t="shared" si="30"/>
        <v>0.83333333333333337</v>
      </c>
      <c r="N26" s="12">
        <f t="shared" si="30"/>
        <v>0.83333333333333337</v>
      </c>
      <c r="O26" s="12">
        <f t="shared" si="30"/>
        <v>0.83333333333333337</v>
      </c>
      <c r="P26" s="12">
        <f t="shared" si="30"/>
        <v>1</v>
      </c>
      <c r="Q26" s="12">
        <f t="shared" si="30"/>
        <v>1</v>
      </c>
    </row>
    <row r="28" spans="1:18" x14ac:dyDescent="0.3">
      <c r="A28" t="s">
        <v>33</v>
      </c>
      <c r="C28" s="3" t="s">
        <v>65</v>
      </c>
      <c r="D28" s="3" t="s">
        <v>65</v>
      </c>
      <c r="E28" s="3" t="s">
        <v>65</v>
      </c>
      <c r="F28" s="3" t="s">
        <v>65</v>
      </c>
      <c r="G28" s="3" t="s">
        <v>65</v>
      </c>
      <c r="H28" s="3" t="s">
        <v>65</v>
      </c>
      <c r="I28" s="3" t="s">
        <v>65</v>
      </c>
      <c r="J28" s="3" t="s">
        <v>65</v>
      </c>
      <c r="K28" s="3" t="s">
        <v>65</v>
      </c>
      <c r="L28" s="3" t="s">
        <v>65</v>
      </c>
      <c r="M28" s="3" t="s">
        <v>65</v>
      </c>
      <c r="N28" s="3" t="s">
        <v>65</v>
      </c>
      <c r="O28" s="3" t="s">
        <v>65</v>
      </c>
      <c r="P28" s="3" t="s">
        <v>65</v>
      </c>
      <c r="Q28" s="3" t="s">
        <v>65</v>
      </c>
      <c r="R28" t="s">
        <v>61</v>
      </c>
    </row>
    <row r="29" spans="1:18" x14ac:dyDescent="0.3">
      <c r="A29" t="s">
        <v>33</v>
      </c>
      <c r="C29" s="3" t="e">
        <f t="shared" ref="C29:D29" si="31">C1-C2</f>
        <v>#VALUE!</v>
      </c>
      <c r="D29" s="3" t="e">
        <f t="shared" si="31"/>
        <v>#VALUE!</v>
      </c>
      <c r="E29" s="3" t="e">
        <f t="shared" ref="E29:O29" si="32">E1-E2</f>
        <v>#VALUE!</v>
      </c>
      <c r="F29" s="3" t="e">
        <f t="shared" si="32"/>
        <v>#VALUE!</v>
      </c>
      <c r="G29" s="3" t="e">
        <f t="shared" si="32"/>
        <v>#VALUE!</v>
      </c>
      <c r="H29" s="3" t="e">
        <f t="shared" si="32"/>
        <v>#VALUE!</v>
      </c>
      <c r="I29" s="3" t="e">
        <f t="shared" si="32"/>
        <v>#VALUE!</v>
      </c>
      <c r="J29" s="3" t="e">
        <f t="shared" si="32"/>
        <v>#VALUE!</v>
      </c>
      <c r="K29" s="3" t="e">
        <f t="shared" si="32"/>
        <v>#VALUE!</v>
      </c>
      <c r="L29" s="3" t="e">
        <f t="shared" si="32"/>
        <v>#VALUE!</v>
      </c>
      <c r="M29" s="3" t="e">
        <f t="shared" si="32"/>
        <v>#VALUE!</v>
      </c>
      <c r="N29" s="3" t="e">
        <f t="shared" si="32"/>
        <v>#VALUE!</v>
      </c>
      <c r="O29" s="3" t="e">
        <f t="shared" si="32"/>
        <v>#VALUE!</v>
      </c>
      <c r="P29" s="3" t="e">
        <f t="shared" ref="P29:Q29" si="33">P1-P2</f>
        <v>#VALUE!</v>
      </c>
      <c r="Q29" s="3" t="e">
        <f t="shared" si="33"/>
        <v>#VALUE!</v>
      </c>
      <c r="R29" t="s">
        <v>62</v>
      </c>
    </row>
    <row r="31" spans="1:18" x14ac:dyDescent="0.3">
      <c r="A31" t="s">
        <v>38</v>
      </c>
      <c r="C31" s="12">
        <f>(C20+C21+C23+C24+C25)/5</f>
        <v>0.6</v>
      </c>
      <c r="D31" s="12">
        <f t="shared" ref="D31:Q31" si="34">(D20+D21+D23+D24+D25)/5</f>
        <v>0.6</v>
      </c>
      <c r="E31" s="12">
        <f t="shared" si="34"/>
        <v>0.6</v>
      </c>
      <c r="F31" s="12">
        <f t="shared" si="34"/>
        <v>0.6</v>
      </c>
      <c r="G31" s="12">
        <f t="shared" si="34"/>
        <v>1</v>
      </c>
      <c r="H31" s="12">
        <f t="shared" si="34"/>
        <v>1</v>
      </c>
      <c r="I31" s="12">
        <f t="shared" si="34"/>
        <v>1</v>
      </c>
      <c r="J31" s="12">
        <f t="shared" si="34"/>
        <v>1</v>
      </c>
      <c r="K31" s="12">
        <f t="shared" si="34"/>
        <v>1</v>
      </c>
      <c r="L31" s="12">
        <f t="shared" si="34"/>
        <v>1</v>
      </c>
      <c r="M31" s="12">
        <f t="shared" si="34"/>
        <v>1</v>
      </c>
      <c r="N31" s="12">
        <f t="shared" si="34"/>
        <v>1</v>
      </c>
      <c r="O31" s="12">
        <f t="shared" si="34"/>
        <v>1</v>
      </c>
      <c r="P31" s="12">
        <f t="shared" si="34"/>
        <v>1</v>
      </c>
      <c r="Q31" s="12">
        <f t="shared" si="34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6EE23-526C-4EF5-8885-109F7994044C}">
  <dimension ref="A1:XFD31"/>
  <sheetViews>
    <sheetView workbookViewId="0">
      <selection activeCell="V21" sqref="V21"/>
    </sheetView>
  </sheetViews>
  <sheetFormatPr defaultRowHeight="15" customHeight="1" x14ac:dyDescent="0.3"/>
  <cols>
    <col min="1" max="17" width="10.6640625" customWidth="1"/>
  </cols>
  <sheetData>
    <row r="1" spans="1:20 16384:16384" ht="14.4" x14ac:dyDescent="0.3">
      <c r="A1" s="17" t="s">
        <v>0</v>
      </c>
      <c r="B1" s="18"/>
      <c r="C1" s="19">
        <v>2.0833333333333333E-3</v>
      </c>
      <c r="D1" s="19">
        <v>2.7777777777777779E-3</v>
      </c>
      <c r="E1" s="19">
        <v>3.472222222222222E-3</v>
      </c>
      <c r="F1" s="19">
        <v>4.1666666666666666E-3</v>
      </c>
      <c r="G1" s="19">
        <v>4.8611111111111103E-3</v>
      </c>
      <c r="H1" s="19">
        <v>5.5555555555555497E-3</v>
      </c>
      <c r="I1" s="19">
        <v>6.2500000000000003E-3</v>
      </c>
      <c r="J1" s="19">
        <v>6.9444444444444397E-3</v>
      </c>
      <c r="K1" s="19">
        <v>7.6388888888888904E-3</v>
      </c>
      <c r="L1" s="19">
        <v>8.3333333333333297E-3</v>
      </c>
      <c r="M1" s="19">
        <v>9.0277777777777804E-3</v>
      </c>
      <c r="N1" s="19">
        <v>9.7222222222222206E-3</v>
      </c>
      <c r="O1" s="19">
        <v>1.0416666666666701E-2</v>
      </c>
      <c r="P1" s="19">
        <v>1.3888888888888888E-2</v>
      </c>
      <c r="Q1" s="19">
        <v>1.7361111111111112E-2</v>
      </c>
      <c r="R1" t="s">
        <v>1</v>
      </c>
    </row>
    <row r="2" spans="1:20 16384:16384" ht="14.4" x14ac:dyDescent="0.3">
      <c r="A2" s="20" t="s">
        <v>2</v>
      </c>
      <c r="B2" s="21" t="s">
        <v>3</v>
      </c>
      <c r="C2" s="24">
        <v>0</v>
      </c>
      <c r="D2" s="24">
        <v>0</v>
      </c>
      <c r="E2" s="22">
        <v>0</v>
      </c>
      <c r="F2" s="22">
        <v>1.6203703703703703E-4</v>
      </c>
      <c r="G2" s="22">
        <v>7.8240740740740736E-3</v>
      </c>
      <c r="H2" s="22">
        <v>7.8240740740740736E-3</v>
      </c>
      <c r="I2" s="22">
        <v>7.8240740740740736E-3</v>
      </c>
      <c r="J2" s="22">
        <v>7.8240740740740736E-3</v>
      </c>
      <c r="K2" s="22">
        <v>7.8240740740740736E-3</v>
      </c>
      <c r="L2" s="22">
        <v>7.8240740740740736E-3</v>
      </c>
      <c r="M2" s="22">
        <v>7.8240740740740736E-3</v>
      </c>
      <c r="N2" s="22">
        <v>7.8240740740740736E-3</v>
      </c>
      <c r="O2" s="22">
        <v>7.8240740740740736E-3</v>
      </c>
      <c r="P2" s="22">
        <v>1.7476851851851851E-2</v>
      </c>
      <c r="Q2" s="22">
        <v>1.8240740740740741E-2</v>
      </c>
      <c r="R2" t="s">
        <v>4</v>
      </c>
      <c r="T2" t="s">
        <v>60</v>
      </c>
    </row>
    <row r="3" spans="1:20 16384:16384" ht="14.4" x14ac:dyDescent="0.3">
      <c r="A3" s="2">
        <v>1700</v>
      </c>
      <c r="B3" s="7" t="s">
        <v>6</v>
      </c>
      <c r="C3" s="25">
        <v>1.136574074074074E-2</v>
      </c>
      <c r="D3" s="25">
        <v>1.136574074074074E-2</v>
      </c>
      <c r="E3" s="25">
        <v>1.136574074074074E-2</v>
      </c>
      <c r="F3" s="25">
        <v>1.136574074074074E-2</v>
      </c>
      <c r="G3" s="3">
        <v>1.136574074074074E-2</v>
      </c>
      <c r="H3" s="3">
        <v>1.136574074074074E-2</v>
      </c>
      <c r="I3" s="3">
        <v>1.136574074074074E-2</v>
      </c>
      <c r="J3" s="3">
        <v>1.136574074074074E-2</v>
      </c>
      <c r="K3" s="3">
        <v>1.136574074074074E-2</v>
      </c>
      <c r="L3" s="3">
        <v>1.136574074074074E-2</v>
      </c>
      <c r="M3" s="3">
        <v>1.136574074074074E-2</v>
      </c>
      <c r="N3" s="3">
        <v>1.136574074074074E-2</v>
      </c>
      <c r="O3" s="3">
        <v>1.136574074074074E-2</v>
      </c>
      <c r="P3" s="3">
        <v>0</v>
      </c>
      <c r="Q3" s="3">
        <v>0</v>
      </c>
      <c r="R3" t="s">
        <v>7</v>
      </c>
    </row>
    <row r="4" spans="1:20 16384:16384" ht="14.4" x14ac:dyDescent="0.3">
      <c r="A4" s="2">
        <v>7000</v>
      </c>
      <c r="B4" s="7" t="s">
        <v>9</v>
      </c>
      <c r="C4" s="25">
        <v>3.4027777777777776E-3</v>
      </c>
      <c r="D4" s="25">
        <v>3.4027777777777776E-3</v>
      </c>
      <c r="E4" s="3">
        <v>3.425925925925926E-3</v>
      </c>
      <c r="F4" s="3">
        <v>3.7962962962962963E-3</v>
      </c>
      <c r="G4" s="3">
        <v>5.6249999999999998E-3</v>
      </c>
      <c r="H4" s="3">
        <v>5.6249999999999998E-3</v>
      </c>
      <c r="I4" s="3">
        <v>5.6249999999999998E-3</v>
      </c>
      <c r="J4" s="3">
        <v>5.6249999999999998E-3</v>
      </c>
      <c r="K4" s="3">
        <v>5.6249999999999998E-3</v>
      </c>
      <c r="L4" s="3">
        <v>5.6249999999999998E-3</v>
      </c>
      <c r="M4" s="3">
        <v>5.6018518518518518E-3</v>
      </c>
      <c r="N4" s="3">
        <v>5.4629629629629629E-3</v>
      </c>
      <c r="O4" s="3">
        <v>5.9259259259259256E-3</v>
      </c>
      <c r="P4" s="3">
        <v>1.4837962962962963E-2</v>
      </c>
      <c r="Q4" s="3">
        <v>2.2592592592592591E-2</v>
      </c>
      <c r="R4" t="s">
        <v>10</v>
      </c>
    </row>
    <row r="5" spans="1:20 16384:16384" ht="14.4" x14ac:dyDescent="0.3">
      <c r="A5" s="2">
        <v>31200</v>
      </c>
      <c r="B5" s="7" t="s">
        <v>11</v>
      </c>
      <c r="C5" s="25">
        <v>6.7129629629629625E-4</v>
      </c>
      <c r="D5" s="25">
        <v>1.25E-3</v>
      </c>
      <c r="E5" s="3">
        <v>2.8703703703703703E-3</v>
      </c>
      <c r="F5" s="3">
        <v>2.8703703703703703E-3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t="s">
        <v>12</v>
      </c>
    </row>
    <row r="6" spans="1:20 16384:16384" ht="14.4" x14ac:dyDescent="0.3">
      <c r="A6" s="2">
        <v>7900</v>
      </c>
      <c r="B6" s="7" t="s">
        <v>13</v>
      </c>
      <c r="C6" s="25">
        <v>0</v>
      </c>
      <c r="D6" s="25">
        <v>3.7037037037037035E-4</v>
      </c>
      <c r="E6" s="3">
        <v>1.0648148148148149E-3</v>
      </c>
      <c r="F6" s="3">
        <v>1.7592592592592592E-3</v>
      </c>
      <c r="G6" s="3">
        <v>1.6203703703703703E-3</v>
      </c>
      <c r="H6" s="3">
        <v>1.6203703703703703E-3</v>
      </c>
      <c r="I6" s="3">
        <v>1.6203703703703703E-3</v>
      </c>
      <c r="J6" s="3">
        <v>1.6203703703703703E-3</v>
      </c>
      <c r="K6" s="3">
        <v>1.6203703703703703E-3</v>
      </c>
      <c r="L6" s="3">
        <v>1.5277777777777779E-3</v>
      </c>
      <c r="M6" s="3">
        <v>2.1064814814814813E-3</v>
      </c>
      <c r="N6" s="3">
        <v>2.8009259259259259E-3</v>
      </c>
      <c r="O6" s="3">
        <v>3.4953703703703705E-3</v>
      </c>
      <c r="P6" s="3">
        <v>0</v>
      </c>
      <c r="Q6" s="3">
        <v>0</v>
      </c>
      <c r="R6" t="s">
        <v>14</v>
      </c>
    </row>
    <row r="7" spans="1:20 16384:16384" ht="14.4" x14ac:dyDescent="0.3">
      <c r="A7" s="2">
        <v>31300</v>
      </c>
      <c r="B7" s="7" t="s">
        <v>3</v>
      </c>
      <c r="C7" s="25">
        <v>0</v>
      </c>
      <c r="D7" s="25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t="s">
        <v>15</v>
      </c>
    </row>
    <row r="8" spans="1:20 16384:16384" ht="14.4" x14ac:dyDescent="0.3">
      <c r="A8" s="2">
        <v>3600</v>
      </c>
      <c r="B8" s="7" t="s">
        <v>16</v>
      </c>
      <c r="C8" s="25">
        <v>4.2592592592592595E-3</v>
      </c>
      <c r="D8" s="25">
        <v>4.2592592592592595E-3</v>
      </c>
      <c r="E8" s="3">
        <v>4.6759259259259263E-3</v>
      </c>
      <c r="F8" s="3">
        <v>5.37037037037037E-3</v>
      </c>
      <c r="G8" s="3">
        <v>9.4907407407407408E-4</v>
      </c>
      <c r="H8" s="3">
        <v>9.4907407407407408E-4</v>
      </c>
      <c r="I8" s="3">
        <v>9.4907407407407408E-4</v>
      </c>
      <c r="J8" s="3">
        <v>9.4907407407407408E-4</v>
      </c>
      <c r="K8" s="3">
        <v>9.4907407407407408E-4</v>
      </c>
      <c r="L8" s="3">
        <v>9.4907407407407408E-4</v>
      </c>
      <c r="M8" s="3">
        <v>9.4907407407407408E-4</v>
      </c>
      <c r="N8" s="3">
        <v>9.4907407407407408E-4</v>
      </c>
      <c r="O8" s="3">
        <v>9.4907407407407408E-4</v>
      </c>
      <c r="P8" s="3">
        <v>9.4907407407407408E-4</v>
      </c>
      <c r="Q8" s="3">
        <v>9.4907407407407408E-4</v>
      </c>
    </row>
    <row r="9" spans="1:20 16384:16384" ht="14.4" x14ac:dyDescent="0.3">
      <c r="A9" s="2">
        <v>20350</v>
      </c>
      <c r="B9" s="7" t="s">
        <v>18</v>
      </c>
      <c r="C9" s="25">
        <v>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6.9444444444444447E-4</v>
      </c>
      <c r="P9" s="25">
        <v>6.9444444444444447E-4</v>
      </c>
      <c r="Q9" s="22">
        <v>0</v>
      </c>
      <c r="R9" t="s">
        <v>19</v>
      </c>
    </row>
    <row r="10" spans="1:20 16384:16384" ht="14.4" x14ac:dyDescent="0.3">
      <c r="A10" s="4">
        <v>31200</v>
      </c>
      <c r="B10" s="8" t="s">
        <v>18</v>
      </c>
      <c r="C10" s="28">
        <v>2.3148148148148147E-3</v>
      </c>
      <c r="D10" s="28">
        <v>2.8935185185185184E-3</v>
      </c>
      <c r="E10" s="5">
        <v>3.5879629629629629E-3</v>
      </c>
      <c r="F10" s="5">
        <v>4.2824074074074075E-3</v>
      </c>
      <c r="G10" s="5">
        <v>1.1574074074074075E-4</v>
      </c>
      <c r="H10" s="5">
        <v>1.1574074074074075E-4</v>
      </c>
      <c r="I10" s="5">
        <v>1.1574074074074075E-4</v>
      </c>
      <c r="J10" s="5">
        <v>1.1574074074074075E-4</v>
      </c>
      <c r="K10" s="5">
        <v>1.1574074074074075E-4</v>
      </c>
      <c r="L10" s="5">
        <v>1.1574074074074075E-4</v>
      </c>
      <c r="M10" s="5">
        <v>1.1574074074074075E-4</v>
      </c>
      <c r="N10" s="5">
        <v>1.1574074074074075E-4</v>
      </c>
      <c r="O10" s="5">
        <v>1.1574074074074075E-4</v>
      </c>
      <c r="P10" s="5">
        <v>1.1574074074074075E-4</v>
      </c>
      <c r="Q10" s="5">
        <v>1.1574074074074075E-4</v>
      </c>
      <c r="XFD10" s="5"/>
    </row>
    <row r="11" spans="1:20 16384:16384" ht="14.4" x14ac:dyDescent="0.3">
      <c r="A11" s="2">
        <v>31200</v>
      </c>
      <c r="B11" s="7" t="s">
        <v>24</v>
      </c>
      <c r="C11" s="25">
        <v>1.6203703703703703E-4</v>
      </c>
      <c r="D11" s="25">
        <v>2.7777777777777778E-4</v>
      </c>
      <c r="E11" s="3">
        <v>1.8749999999999999E-3</v>
      </c>
      <c r="F11" s="3">
        <v>1.8749999999999999E-3</v>
      </c>
      <c r="G11" s="3">
        <v>1.6203703703703703E-4</v>
      </c>
      <c r="H11" s="3">
        <v>1.6203703703703703E-4</v>
      </c>
      <c r="I11" s="3">
        <v>1.6203703703703703E-4</v>
      </c>
      <c r="J11" s="3">
        <v>1.6203703703703703E-4</v>
      </c>
      <c r="K11" s="3">
        <v>1.6203703703703703E-4</v>
      </c>
      <c r="L11" s="3">
        <v>1.6203703703703703E-4</v>
      </c>
      <c r="M11" s="3">
        <v>1.6203703703703703E-4</v>
      </c>
      <c r="N11" s="3">
        <v>1.6203703703703703E-4</v>
      </c>
      <c r="O11" s="3">
        <v>1.6203703703703703E-4</v>
      </c>
      <c r="P11" s="3">
        <v>1.6203703703703703E-4</v>
      </c>
      <c r="Q11" s="3">
        <v>1.6203703703703703E-4</v>
      </c>
    </row>
    <row r="12" spans="1:20 16384:16384" ht="14.4" x14ac:dyDescent="0.3">
      <c r="A12" s="2">
        <v>7900</v>
      </c>
      <c r="B12" s="7" t="s">
        <v>16</v>
      </c>
      <c r="C12" s="25">
        <v>0</v>
      </c>
      <c r="D12" s="25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</row>
    <row r="13" spans="1:20 16384:16384" ht="15" customHeight="1" x14ac:dyDescent="0.3">
      <c r="A13" s="9" t="s">
        <v>25</v>
      </c>
      <c r="B13" s="9"/>
      <c r="C13" s="10">
        <f t="shared" ref="C13:Q13" si="0">SUM(C3:C8)</f>
        <v>1.9699074074074074E-2</v>
      </c>
      <c r="D13" s="10">
        <f t="shared" si="0"/>
        <v>2.0648148148148152E-2</v>
      </c>
      <c r="E13" s="10">
        <f t="shared" si="0"/>
        <v>2.3402777777777779E-2</v>
      </c>
      <c r="F13" s="10">
        <f t="shared" si="0"/>
        <v>2.5162037037037035E-2</v>
      </c>
      <c r="G13" s="10">
        <f t="shared" si="0"/>
        <v>1.9560185185185184E-2</v>
      </c>
      <c r="H13" s="10">
        <f t="shared" si="0"/>
        <v>1.9560185185185184E-2</v>
      </c>
      <c r="I13" s="10">
        <f t="shared" si="0"/>
        <v>1.9560185185185184E-2</v>
      </c>
      <c r="J13" s="10">
        <f t="shared" si="0"/>
        <v>1.9560185185185184E-2</v>
      </c>
      <c r="K13" s="10">
        <f t="shared" si="0"/>
        <v>1.9560185185185184E-2</v>
      </c>
      <c r="L13" s="10">
        <f t="shared" si="0"/>
        <v>1.9467592592592592E-2</v>
      </c>
      <c r="M13" s="10">
        <f t="shared" si="0"/>
        <v>2.0023148148148148E-2</v>
      </c>
      <c r="N13" s="10">
        <f t="shared" si="0"/>
        <v>2.0578703703703703E-2</v>
      </c>
      <c r="O13" s="10">
        <f t="shared" si="0"/>
        <v>2.1736111111111112E-2</v>
      </c>
      <c r="P13" s="10">
        <f t="shared" si="0"/>
        <v>1.5787037037037037E-2</v>
      </c>
      <c r="Q13" s="10">
        <f t="shared" si="0"/>
        <v>2.3541666666666666E-2</v>
      </c>
    </row>
    <row r="14" spans="1:20 16384:16384" ht="14.4" x14ac:dyDescent="0.3"/>
    <row r="15" spans="1:20 16384:16384" ht="14.4" x14ac:dyDescent="0.3">
      <c r="A15" s="2" t="s">
        <v>2</v>
      </c>
      <c r="B15" s="2" t="s">
        <v>3</v>
      </c>
      <c r="C15" t="b">
        <f t="shared" ref="C15:D15" si="1">C2&lt;6/1440</f>
        <v>1</v>
      </c>
      <c r="D15" t="b">
        <f t="shared" si="1"/>
        <v>1</v>
      </c>
      <c r="E15" t="b">
        <f>E2&lt;6/1440</f>
        <v>1</v>
      </c>
      <c r="F15" t="b">
        <f t="shared" ref="F15:Q15" si="2">F2&lt;6/1440</f>
        <v>1</v>
      </c>
      <c r="G15" t="b">
        <f t="shared" si="2"/>
        <v>0</v>
      </c>
      <c r="H15" t="b">
        <f t="shared" si="2"/>
        <v>0</v>
      </c>
      <c r="I15" t="b">
        <f t="shared" si="2"/>
        <v>0</v>
      </c>
      <c r="J15" t="b">
        <f t="shared" si="2"/>
        <v>0</v>
      </c>
      <c r="K15" t="b">
        <f t="shared" si="2"/>
        <v>0</v>
      </c>
      <c r="L15" t="b">
        <f t="shared" si="2"/>
        <v>0</v>
      </c>
      <c r="M15" t="b">
        <f t="shared" si="2"/>
        <v>0</v>
      </c>
      <c r="N15" t="b">
        <f t="shared" si="2"/>
        <v>0</v>
      </c>
      <c r="O15" t="b">
        <f t="shared" si="2"/>
        <v>0</v>
      </c>
      <c r="P15" t="b">
        <f t="shared" si="2"/>
        <v>0</v>
      </c>
      <c r="Q15" t="b">
        <f t="shared" si="2"/>
        <v>0</v>
      </c>
    </row>
    <row r="16" spans="1:20 16384:16384" ht="14.4" x14ac:dyDescent="0.3">
      <c r="A16" s="2">
        <v>1700</v>
      </c>
      <c r="B16" s="2" t="s">
        <v>6</v>
      </c>
      <c r="C16" t="b">
        <f t="shared" ref="C16:E21" si="3">C3&lt;3/1440</f>
        <v>0</v>
      </c>
      <c r="D16" t="b">
        <f t="shared" si="3"/>
        <v>0</v>
      </c>
      <c r="E16" t="b">
        <f t="shared" si="3"/>
        <v>0</v>
      </c>
      <c r="F16" t="b">
        <f t="shared" ref="F16:Q21" si="4">F3&lt;3/1440</f>
        <v>0</v>
      </c>
      <c r="G16" t="b">
        <f t="shared" si="4"/>
        <v>0</v>
      </c>
      <c r="H16" t="b">
        <f t="shared" si="4"/>
        <v>0</v>
      </c>
      <c r="I16" t="b">
        <f t="shared" si="4"/>
        <v>0</v>
      </c>
      <c r="J16" t="b">
        <f t="shared" si="4"/>
        <v>0</v>
      </c>
      <c r="K16" t="b">
        <f t="shared" si="4"/>
        <v>0</v>
      </c>
      <c r="L16" t="b">
        <f t="shared" si="4"/>
        <v>0</v>
      </c>
      <c r="M16" t="b">
        <f t="shared" si="4"/>
        <v>0</v>
      </c>
      <c r="N16" t="b">
        <f t="shared" si="4"/>
        <v>0</v>
      </c>
      <c r="O16" t="b">
        <f t="shared" si="4"/>
        <v>0</v>
      </c>
      <c r="P16" t="b">
        <f t="shared" si="4"/>
        <v>1</v>
      </c>
      <c r="Q16" t="b">
        <f t="shared" si="4"/>
        <v>1</v>
      </c>
    </row>
    <row r="17" spans="1:18" ht="14.4" x14ac:dyDescent="0.3">
      <c r="A17" s="2">
        <v>7000</v>
      </c>
      <c r="B17" s="2" t="s">
        <v>9</v>
      </c>
      <c r="C17" t="b">
        <f t="shared" si="3"/>
        <v>0</v>
      </c>
      <c r="D17" t="b">
        <f t="shared" si="3"/>
        <v>0</v>
      </c>
      <c r="E17" t="b">
        <f t="shared" si="3"/>
        <v>0</v>
      </c>
      <c r="F17" t="b">
        <f t="shared" ref="F17:O17" si="5">F4&lt;3/1440</f>
        <v>0</v>
      </c>
      <c r="G17" t="b">
        <f t="shared" si="5"/>
        <v>0</v>
      </c>
      <c r="H17" t="b">
        <f t="shared" si="5"/>
        <v>0</v>
      </c>
      <c r="I17" t="b">
        <f t="shared" si="5"/>
        <v>0</v>
      </c>
      <c r="J17" t="b">
        <f t="shared" si="5"/>
        <v>0</v>
      </c>
      <c r="K17" t="b">
        <f t="shared" si="5"/>
        <v>0</v>
      </c>
      <c r="L17" t="b">
        <f t="shared" si="5"/>
        <v>0</v>
      </c>
      <c r="M17" t="b">
        <f t="shared" si="5"/>
        <v>0</v>
      </c>
      <c r="N17" t="b">
        <f t="shared" si="5"/>
        <v>0</v>
      </c>
      <c r="O17" t="b">
        <f t="shared" si="5"/>
        <v>0</v>
      </c>
      <c r="P17" t="b">
        <f t="shared" si="4"/>
        <v>0</v>
      </c>
      <c r="Q17" t="b">
        <f t="shared" si="4"/>
        <v>0</v>
      </c>
    </row>
    <row r="18" spans="1:18" ht="14.4" x14ac:dyDescent="0.3">
      <c r="A18" s="2">
        <v>31200</v>
      </c>
      <c r="B18" s="2" t="s">
        <v>11</v>
      </c>
      <c r="C18" t="b">
        <f t="shared" si="3"/>
        <v>1</v>
      </c>
      <c r="D18" t="b">
        <f t="shared" si="3"/>
        <v>1</v>
      </c>
      <c r="E18" t="b">
        <f t="shared" si="3"/>
        <v>0</v>
      </c>
      <c r="F18" t="b">
        <f t="shared" ref="F18:O18" si="6">F5&lt;3/1440</f>
        <v>0</v>
      </c>
      <c r="G18" t="b">
        <f t="shared" si="6"/>
        <v>1</v>
      </c>
      <c r="H18" t="b">
        <f t="shared" si="6"/>
        <v>1</v>
      </c>
      <c r="I18" t="b">
        <f t="shared" si="6"/>
        <v>1</v>
      </c>
      <c r="J18" t="b">
        <f t="shared" si="6"/>
        <v>1</v>
      </c>
      <c r="K18" t="b">
        <f t="shared" si="6"/>
        <v>1</v>
      </c>
      <c r="L18" t="b">
        <f t="shared" si="6"/>
        <v>1</v>
      </c>
      <c r="M18" t="b">
        <f t="shared" si="6"/>
        <v>1</v>
      </c>
      <c r="N18" t="b">
        <f t="shared" si="6"/>
        <v>1</v>
      </c>
      <c r="O18" t="b">
        <f t="shared" si="6"/>
        <v>1</v>
      </c>
      <c r="P18" t="b">
        <f t="shared" si="4"/>
        <v>1</v>
      </c>
      <c r="Q18" t="b">
        <f t="shared" si="4"/>
        <v>1</v>
      </c>
    </row>
    <row r="19" spans="1:18" ht="14.4" x14ac:dyDescent="0.3">
      <c r="A19" s="2">
        <v>7900</v>
      </c>
      <c r="B19" s="2" t="s">
        <v>13</v>
      </c>
      <c r="C19" t="b">
        <f t="shared" si="3"/>
        <v>1</v>
      </c>
      <c r="D19" t="b">
        <f t="shared" si="3"/>
        <v>1</v>
      </c>
      <c r="E19" t="b">
        <f t="shared" si="3"/>
        <v>1</v>
      </c>
      <c r="F19" t="b">
        <f t="shared" ref="F19:O19" si="7">F6&lt;3/1440</f>
        <v>1</v>
      </c>
      <c r="G19" t="b">
        <f t="shared" si="7"/>
        <v>1</v>
      </c>
      <c r="H19" t="b">
        <f t="shared" si="7"/>
        <v>1</v>
      </c>
      <c r="I19" t="b">
        <f t="shared" si="7"/>
        <v>1</v>
      </c>
      <c r="J19" t="b">
        <f t="shared" si="7"/>
        <v>1</v>
      </c>
      <c r="K19" t="b">
        <f t="shared" si="7"/>
        <v>1</v>
      </c>
      <c r="L19" t="b">
        <f t="shared" si="7"/>
        <v>1</v>
      </c>
      <c r="M19" t="b">
        <f t="shared" si="7"/>
        <v>0</v>
      </c>
      <c r="N19" t="b">
        <f t="shared" si="7"/>
        <v>0</v>
      </c>
      <c r="O19" t="b">
        <f t="shared" si="7"/>
        <v>0</v>
      </c>
      <c r="P19" t="b">
        <f t="shared" si="4"/>
        <v>1</v>
      </c>
      <c r="Q19" t="b">
        <f t="shared" si="4"/>
        <v>1</v>
      </c>
    </row>
    <row r="20" spans="1:18" ht="14.4" x14ac:dyDescent="0.3">
      <c r="A20" s="2">
        <v>31300</v>
      </c>
      <c r="B20" s="2" t="s">
        <v>3</v>
      </c>
      <c r="C20" t="b">
        <f t="shared" si="3"/>
        <v>1</v>
      </c>
      <c r="D20" t="b">
        <f t="shared" si="3"/>
        <v>1</v>
      </c>
      <c r="E20" t="b">
        <f t="shared" si="3"/>
        <v>1</v>
      </c>
      <c r="F20" t="b">
        <f t="shared" ref="F20:O21" si="8">F7&lt;3/1440</f>
        <v>1</v>
      </c>
      <c r="G20" t="b">
        <f t="shared" si="8"/>
        <v>1</v>
      </c>
      <c r="H20" t="b">
        <f t="shared" si="8"/>
        <v>1</v>
      </c>
      <c r="I20" t="b">
        <f t="shared" si="8"/>
        <v>1</v>
      </c>
      <c r="J20" t="b">
        <f t="shared" si="8"/>
        <v>1</v>
      </c>
      <c r="K20" t="b">
        <f t="shared" si="8"/>
        <v>1</v>
      </c>
      <c r="L20" t="b">
        <f t="shared" si="8"/>
        <v>1</v>
      </c>
      <c r="M20" t="b">
        <f t="shared" si="8"/>
        <v>1</v>
      </c>
      <c r="N20" t="b">
        <f t="shared" si="8"/>
        <v>1</v>
      </c>
      <c r="O20" t="b">
        <f t="shared" si="8"/>
        <v>1</v>
      </c>
      <c r="P20" t="b">
        <f t="shared" si="4"/>
        <v>1</v>
      </c>
      <c r="Q20" t="b">
        <f t="shared" si="4"/>
        <v>1</v>
      </c>
    </row>
    <row r="21" spans="1:18" ht="14.4" x14ac:dyDescent="0.3">
      <c r="A21" s="2">
        <v>3600</v>
      </c>
      <c r="B21" s="2" t="s">
        <v>16</v>
      </c>
      <c r="C21" t="b">
        <f t="shared" si="3"/>
        <v>0</v>
      </c>
      <c r="D21" t="b">
        <f t="shared" si="3"/>
        <v>0</v>
      </c>
      <c r="E21" t="b">
        <f t="shared" si="3"/>
        <v>0</v>
      </c>
      <c r="F21" t="b">
        <f t="shared" si="8"/>
        <v>0</v>
      </c>
      <c r="G21" t="b">
        <f t="shared" si="8"/>
        <v>1</v>
      </c>
      <c r="H21" t="b">
        <f t="shared" si="8"/>
        <v>1</v>
      </c>
      <c r="I21" t="b">
        <f t="shared" si="8"/>
        <v>1</v>
      </c>
      <c r="J21" t="b">
        <f t="shared" si="8"/>
        <v>1</v>
      </c>
      <c r="K21" t="b">
        <f t="shared" si="8"/>
        <v>1</v>
      </c>
      <c r="L21" t="b">
        <f t="shared" si="8"/>
        <v>1</v>
      </c>
      <c r="M21" t="b">
        <f t="shared" si="8"/>
        <v>1</v>
      </c>
      <c r="N21" t="b">
        <f t="shared" si="8"/>
        <v>1</v>
      </c>
      <c r="O21" t="b">
        <f t="shared" si="8"/>
        <v>1</v>
      </c>
      <c r="P21" t="b">
        <f t="shared" si="4"/>
        <v>1</v>
      </c>
      <c r="Q21" t="b">
        <f t="shared" si="4"/>
        <v>1</v>
      </c>
    </row>
    <row r="22" spans="1:18" ht="14.4" x14ac:dyDescent="0.3">
      <c r="A22" s="2">
        <v>20350</v>
      </c>
      <c r="B22" s="2" t="s">
        <v>18</v>
      </c>
      <c r="C22" t="b">
        <f t="shared" ref="C22:Q23" si="9">C9&lt;3/1440</f>
        <v>1</v>
      </c>
      <c r="D22" t="b">
        <f t="shared" si="9"/>
        <v>1</v>
      </c>
      <c r="E22" t="b">
        <f t="shared" si="9"/>
        <v>1</v>
      </c>
      <c r="F22" t="b">
        <f t="shared" si="9"/>
        <v>1</v>
      </c>
      <c r="G22" t="b">
        <f t="shared" si="9"/>
        <v>1</v>
      </c>
      <c r="H22" t="b">
        <f t="shared" si="9"/>
        <v>1</v>
      </c>
      <c r="I22" t="b">
        <f t="shared" si="9"/>
        <v>1</v>
      </c>
      <c r="J22" t="b">
        <f t="shared" si="9"/>
        <v>1</v>
      </c>
      <c r="K22" t="b">
        <f t="shared" si="9"/>
        <v>1</v>
      </c>
      <c r="L22" t="b">
        <f t="shared" si="9"/>
        <v>1</v>
      </c>
      <c r="M22" t="b">
        <f t="shared" si="9"/>
        <v>1</v>
      </c>
      <c r="N22" t="b">
        <f t="shared" si="9"/>
        <v>1</v>
      </c>
      <c r="O22" t="b">
        <f t="shared" si="9"/>
        <v>1</v>
      </c>
      <c r="P22" t="b">
        <f t="shared" si="9"/>
        <v>1</v>
      </c>
      <c r="Q22" t="b">
        <f t="shared" si="9"/>
        <v>1</v>
      </c>
    </row>
    <row r="23" spans="1:18" ht="14.4" x14ac:dyDescent="0.3">
      <c r="A23" s="2">
        <v>31200</v>
      </c>
      <c r="B23" s="2" t="s">
        <v>18</v>
      </c>
      <c r="C23" t="b">
        <f t="shared" si="9"/>
        <v>0</v>
      </c>
      <c r="D23" t="b">
        <f t="shared" si="9"/>
        <v>0</v>
      </c>
      <c r="E23" t="b">
        <f t="shared" si="9"/>
        <v>0</v>
      </c>
      <c r="F23" t="b">
        <f t="shared" si="9"/>
        <v>0</v>
      </c>
      <c r="G23" t="b">
        <f t="shared" si="9"/>
        <v>1</v>
      </c>
      <c r="H23" t="b">
        <f t="shared" si="9"/>
        <v>1</v>
      </c>
      <c r="I23" t="b">
        <f t="shared" si="9"/>
        <v>1</v>
      </c>
      <c r="J23" t="b">
        <f t="shared" si="9"/>
        <v>1</v>
      </c>
      <c r="K23" t="b">
        <f t="shared" si="9"/>
        <v>1</v>
      </c>
      <c r="L23" t="b">
        <f t="shared" si="9"/>
        <v>1</v>
      </c>
      <c r="M23" t="b">
        <f t="shared" si="9"/>
        <v>1</v>
      </c>
      <c r="N23" t="b">
        <f t="shared" si="9"/>
        <v>1</v>
      </c>
      <c r="O23" t="b">
        <f t="shared" si="9"/>
        <v>1</v>
      </c>
      <c r="P23" t="b">
        <f t="shared" si="9"/>
        <v>1</v>
      </c>
      <c r="Q23" t="b">
        <f t="shared" si="9"/>
        <v>1</v>
      </c>
    </row>
    <row r="24" spans="1:18" ht="15" customHeight="1" x14ac:dyDescent="0.3">
      <c r="A24" s="2">
        <v>31200</v>
      </c>
      <c r="B24" s="2" t="s">
        <v>24</v>
      </c>
      <c r="C24" t="b">
        <f t="shared" ref="C24:D24" si="10">C10&lt;3/1440</f>
        <v>0</v>
      </c>
      <c r="D24" t="b">
        <f t="shared" si="10"/>
        <v>0</v>
      </c>
      <c r="E24" t="b">
        <f t="shared" ref="E24:O24" si="11">E10&lt;3/1440</f>
        <v>0</v>
      </c>
      <c r="F24" t="b">
        <f t="shared" si="11"/>
        <v>0</v>
      </c>
      <c r="G24" t="b">
        <f t="shared" si="11"/>
        <v>1</v>
      </c>
      <c r="H24" t="b">
        <f t="shared" si="11"/>
        <v>1</v>
      </c>
      <c r="I24" t="b">
        <f t="shared" si="11"/>
        <v>1</v>
      </c>
      <c r="J24" t="b">
        <f t="shared" si="11"/>
        <v>1</v>
      </c>
      <c r="K24" t="b">
        <f t="shared" si="11"/>
        <v>1</v>
      </c>
      <c r="L24" t="b">
        <f t="shared" si="11"/>
        <v>1</v>
      </c>
      <c r="M24" t="b">
        <f t="shared" si="11"/>
        <v>1</v>
      </c>
      <c r="N24" t="b">
        <f t="shared" si="11"/>
        <v>1</v>
      </c>
      <c r="O24" t="b">
        <f t="shared" si="11"/>
        <v>1</v>
      </c>
      <c r="P24" t="b">
        <f t="shared" ref="P24:Q24" si="12">P10&lt;3/1440</f>
        <v>1</v>
      </c>
      <c r="Q24" t="b">
        <f t="shared" si="12"/>
        <v>1</v>
      </c>
    </row>
    <row r="25" spans="1:18" ht="14.4" x14ac:dyDescent="0.3">
      <c r="A25" s="2">
        <v>7900</v>
      </c>
      <c r="B25" s="2" t="s">
        <v>16</v>
      </c>
      <c r="C25" t="b">
        <f t="shared" ref="C25:Q25" si="13">C12&lt;3/1440</f>
        <v>1</v>
      </c>
      <c r="D25" t="b">
        <f t="shared" si="13"/>
        <v>1</v>
      </c>
      <c r="E25" t="b">
        <f t="shared" si="13"/>
        <v>1</v>
      </c>
      <c r="F25" t="b">
        <f t="shared" si="13"/>
        <v>1</v>
      </c>
      <c r="G25" t="b">
        <f t="shared" si="13"/>
        <v>1</v>
      </c>
      <c r="H25" t="b">
        <f t="shared" si="13"/>
        <v>1</v>
      </c>
      <c r="I25" t="b">
        <f t="shared" si="13"/>
        <v>1</v>
      </c>
      <c r="J25" t="b">
        <f t="shared" si="13"/>
        <v>1</v>
      </c>
      <c r="K25" t="b">
        <f t="shared" si="13"/>
        <v>1</v>
      </c>
      <c r="L25" t="b">
        <f t="shared" si="13"/>
        <v>1</v>
      </c>
      <c r="M25" t="b">
        <f t="shared" si="13"/>
        <v>1</v>
      </c>
      <c r="N25" t="b">
        <f t="shared" si="13"/>
        <v>1</v>
      </c>
      <c r="O25" t="b">
        <f t="shared" si="13"/>
        <v>1</v>
      </c>
      <c r="P25" t="b">
        <f t="shared" si="13"/>
        <v>1</v>
      </c>
      <c r="Q25" t="b">
        <f t="shared" si="13"/>
        <v>1</v>
      </c>
    </row>
    <row r="26" spans="1:18" ht="14.4" x14ac:dyDescent="0.3">
      <c r="A26" t="s">
        <v>31</v>
      </c>
      <c r="C26" s="12">
        <f>COUNTIF(C16:C21,TRUE) / 6</f>
        <v>0.5</v>
      </c>
      <c r="D26" s="12">
        <f t="shared" ref="D26:Q26" si="14">COUNTIF(D16:D21,TRUE) / 6</f>
        <v>0.5</v>
      </c>
      <c r="E26" s="12">
        <f t="shared" si="14"/>
        <v>0.33333333333333331</v>
      </c>
      <c r="F26" s="12">
        <f t="shared" si="14"/>
        <v>0.33333333333333331</v>
      </c>
      <c r="G26" s="12">
        <f t="shared" si="14"/>
        <v>0.66666666666666663</v>
      </c>
      <c r="H26" s="12">
        <f t="shared" si="14"/>
        <v>0.66666666666666663</v>
      </c>
      <c r="I26" s="12">
        <f t="shared" si="14"/>
        <v>0.66666666666666663</v>
      </c>
      <c r="J26" s="12">
        <f t="shared" si="14"/>
        <v>0.66666666666666663</v>
      </c>
      <c r="K26" s="12">
        <f t="shared" si="14"/>
        <v>0.66666666666666663</v>
      </c>
      <c r="L26" s="12">
        <f t="shared" si="14"/>
        <v>0.66666666666666663</v>
      </c>
      <c r="M26" s="12">
        <f t="shared" si="14"/>
        <v>0.5</v>
      </c>
      <c r="N26" s="12">
        <f t="shared" si="14"/>
        <v>0.5</v>
      </c>
      <c r="O26" s="12">
        <f t="shared" si="14"/>
        <v>0.5</v>
      </c>
      <c r="P26" s="12">
        <f t="shared" si="14"/>
        <v>0.83333333333333337</v>
      </c>
      <c r="Q26" s="12">
        <f t="shared" si="14"/>
        <v>0.83333333333333337</v>
      </c>
    </row>
    <row r="28" spans="1:18" ht="15" customHeight="1" x14ac:dyDescent="0.3">
      <c r="A28" t="s">
        <v>33</v>
      </c>
      <c r="C28" s="3">
        <f t="shared" ref="C28:Q28" si="15">C2-C1</f>
        <v>-2.0833333333333333E-3</v>
      </c>
      <c r="D28" s="3">
        <f t="shared" si="15"/>
        <v>-2.7777777777777779E-3</v>
      </c>
      <c r="E28" s="3">
        <f t="shared" si="15"/>
        <v>-3.472222222222222E-3</v>
      </c>
      <c r="F28" s="3">
        <f t="shared" si="15"/>
        <v>-4.0046296296296297E-3</v>
      </c>
      <c r="G28" s="3">
        <f t="shared" si="15"/>
        <v>2.9629629629629632E-3</v>
      </c>
      <c r="H28" s="3">
        <f t="shared" si="15"/>
        <v>2.2685185185185239E-3</v>
      </c>
      <c r="I28" s="3">
        <f t="shared" si="15"/>
        <v>1.5740740740740732E-3</v>
      </c>
      <c r="J28" s="3">
        <f t="shared" si="15"/>
        <v>8.7962962962963385E-4</v>
      </c>
      <c r="K28" s="3">
        <f t="shared" si="15"/>
        <v>1.851851851851832E-4</v>
      </c>
      <c r="L28" s="3">
        <f t="shared" si="15"/>
        <v>-5.0925925925925618E-4</v>
      </c>
      <c r="M28" s="3">
        <f t="shared" si="15"/>
        <v>-1.2037037037037068E-3</v>
      </c>
      <c r="N28" s="3">
        <f t="shared" si="15"/>
        <v>-1.8981481481481471E-3</v>
      </c>
      <c r="O28" s="3">
        <f t="shared" si="15"/>
        <v>-2.5925925925926272E-3</v>
      </c>
      <c r="P28" s="3">
        <f t="shared" si="15"/>
        <v>3.5879629629629629E-3</v>
      </c>
      <c r="Q28" s="3">
        <f t="shared" si="15"/>
        <v>8.7962962962962951E-4</v>
      </c>
      <c r="R28" t="s">
        <v>61</v>
      </c>
    </row>
    <row r="29" spans="1:18" ht="15" customHeight="1" x14ac:dyDescent="0.3">
      <c r="A29" t="s">
        <v>33</v>
      </c>
      <c r="C29" s="3">
        <f t="shared" ref="C29:Q29" si="16">C1-C2</f>
        <v>2.0833333333333333E-3</v>
      </c>
      <c r="D29" s="3">
        <f t="shared" si="16"/>
        <v>2.7777777777777779E-3</v>
      </c>
      <c r="E29" s="3">
        <f t="shared" si="16"/>
        <v>3.472222222222222E-3</v>
      </c>
      <c r="F29" s="3">
        <f t="shared" si="16"/>
        <v>4.0046296296296297E-3</v>
      </c>
      <c r="G29" s="3">
        <f t="shared" si="16"/>
        <v>-2.9629629629629632E-3</v>
      </c>
      <c r="H29" s="3">
        <f t="shared" si="16"/>
        <v>-2.2685185185185239E-3</v>
      </c>
      <c r="I29" s="3">
        <f t="shared" si="16"/>
        <v>-1.5740740740740732E-3</v>
      </c>
      <c r="J29" s="3">
        <f t="shared" si="16"/>
        <v>-8.7962962962963385E-4</v>
      </c>
      <c r="K29" s="3">
        <f t="shared" si="16"/>
        <v>-1.851851851851832E-4</v>
      </c>
      <c r="L29" s="3">
        <f t="shared" si="16"/>
        <v>5.0925925925925618E-4</v>
      </c>
      <c r="M29" s="3">
        <f t="shared" si="16"/>
        <v>1.2037037037037068E-3</v>
      </c>
      <c r="N29" s="3">
        <f t="shared" si="16"/>
        <v>1.8981481481481471E-3</v>
      </c>
      <c r="O29" s="3">
        <f t="shared" si="16"/>
        <v>2.5925925925926272E-3</v>
      </c>
      <c r="P29" s="3">
        <f t="shared" si="16"/>
        <v>-3.5879629629629629E-3</v>
      </c>
      <c r="Q29" s="3">
        <f t="shared" si="16"/>
        <v>-8.7962962962962951E-4</v>
      </c>
      <c r="R29" t="s">
        <v>62</v>
      </c>
    </row>
    <row r="31" spans="1:18" ht="15" customHeight="1" x14ac:dyDescent="0.3">
      <c r="A31" t="s">
        <v>38</v>
      </c>
      <c r="C31" s="12">
        <f>(C20+C21+C23+C24+C25)/5</f>
        <v>0.4</v>
      </c>
      <c r="D31" s="12">
        <f t="shared" ref="D31:Q31" si="17">(D20+D21+D23+D24+D25)/5</f>
        <v>0.4</v>
      </c>
      <c r="E31" s="12">
        <f t="shared" si="17"/>
        <v>0.4</v>
      </c>
      <c r="F31" s="12">
        <f t="shared" si="17"/>
        <v>0.4</v>
      </c>
      <c r="G31" s="12">
        <f t="shared" si="17"/>
        <v>1</v>
      </c>
      <c r="H31" s="12">
        <f t="shared" si="17"/>
        <v>1</v>
      </c>
      <c r="I31" s="12">
        <f t="shared" si="17"/>
        <v>1</v>
      </c>
      <c r="J31" s="12">
        <f t="shared" si="17"/>
        <v>1</v>
      </c>
      <c r="K31" s="12">
        <f t="shared" si="17"/>
        <v>1</v>
      </c>
      <c r="L31" s="12">
        <f t="shared" si="17"/>
        <v>1</v>
      </c>
      <c r="M31" s="12">
        <f t="shared" si="17"/>
        <v>1</v>
      </c>
      <c r="N31" s="12">
        <f t="shared" si="17"/>
        <v>1</v>
      </c>
      <c r="O31" s="12">
        <f t="shared" si="17"/>
        <v>1</v>
      </c>
      <c r="P31" s="12">
        <f t="shared" si="17"/>
        <v>1</v>
      </c>
      <c r="Q31" s="12">
        <f t="shared" si="17"/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6F477-27DD-4809-8BF7-35AB2C8B1879}">
  <dimension ref="A1:T31"/>
  <sheetViews>
    <sheetView topLeftCell="J1" workbookViewId="0">
      <selection activeCell="O9" sqref="O9"/>
    </sheetView>
  </sheetViews>
  <sheetFormatPr defaultRowHeight="14.4" x14ac:dyDescent="0.3"/>
  <cols>
    <col min="1" max="17" width="10.6640625" customWidth="1"/>
  </cols>
  <sheetData>
    <row r="1" spans="1:20" x14ac:dyDescent="0.3">
      <c r="A1" s="17" t="s">
        <v>0</v>
      </c>
      <c r="B1" s="18"/>
      <c r="C1" s="19">
        <v>2.0833333333333333E-3</v>
      </c>
      <c r="D1" s="19">
        <v>2.7777777777777779E-3</v>
      </c>
      <c r="E1" s="19">
        <v>3.472222222222222E-3</v>
      </c>
      <c r="F1" s="19">
        <v>4.1666666666666666E-3</v>
      </c>
      <c r="G1" s="19">
        <v>4.8611111111111103E-3</v>
      </c>
      <c r="H1" s="19">
        <v>5.5555555555555497E-3</v>
      </c>
      <c r="I1" s="19">
        <v>6.2500000000000003E-3</v>
      </c>
      <c r="J1" s="19">
        <v>6.9444444444444397E-3</v>
      </c>
      <c r="K1" s="19">
        <v>7.6388888888888904E-3</v>
      </c>
      <c r="L1" s="19">
        <v>8.3333333333333297E-3</v>
      </c>
      <c r="M1" s="19">
        <v>9.0277777777777804E-3</v>
      </c>
      <c r="N1" s="19">
        <v>9.7222222222222206E-3</v>
      </c>
      <c r="O1" s="19">
        <v>1.0416666666666701E-2</v>
      </c>
      <c r="P1" s="19">
        <v>1.3888888888888888E-2</v>
      </c>
      <c r="Q1" s="19">
        <v>1.7361111111111112E-2</v>
      </c>
      <c r="R1" t="s">
        <v>1</v>
      </c>
    </row>
    <row r="2" spans="1:20" x14ac:dyDescent="0.3">
      <c r="A2" s="20" t="s">
        <v>2</v>
      </c>
      <c r="B2" s="21" t="s">
        <v>3</v>
      </c>
      <c r="C2" s="22">
        <v>1.7592592592592594E-2</v>
      </c>
      <c r="D2" s="22">
        <v>1.7592592592592594E-2</v>
      </c>
      <c r="E2" s="22">
        <v>1.7592592592592594E-2</v>
      </c>
      <c r="F2" s="22">
        <v>1.7592592592592594E-2</v>
      </c>
      <c r="G2" s="22">
        <v>1.7592592592592594E-2</v>
      </c>
      <c r="H2" s="22">
        <v>1.7592592592592594E-2</v>
      </c>
      <c r="I2" s="22">
        <v>1.7592592592592594E-2</v>
      </c>
      <c r="J2" s="22">
        <v>1.7592592592592594E-2</v>
      </c>
      <c r="K2" s="22">
        <v>1.7592592592592594E-2</v>
      </c>
      <c r="L2" s="22">
        <v>1.7592592592592594E-2</v>
      </c>
      <c r="M2" s="22">
        <v>1.7592592592592594E-2</v>
      </c>
      <c r="N2" s="22">
        <v>1.7592592592592594E-2</v>
      </c>
      <c r="O2" s="22">
        <v>1.7592592592592594E-2</v>
      </c>
      <c r="P2" s="22">
        <v>1.7592592592592594E-2</v>
      </c>
      <c r="Q2" s="22">
        <v>1.7592592592592594E-2</v>
      </c>
      <c r="R2" t="s">
        <v>4</v>
      </c>
      <c r="T2" t="s">
        <v>60</v>
      </c>
    </row>
    <row r="3" spans="1:20" x14ac:dyDescent="0.3">
      <c r="A3" s="2">
        <v>1700</v>
      </c>
      <c r="B3" s="7" t="s">
        <v>6</v>
      </c>
      <c r="C3" s="3">
        <v>1.5509259259259259E-3</v>
      </c>
      <c r="D3" s="3">
        <v>1.5509259259259259E-3</v>
      </c>
      <c r="E3" s="3">
        <v>1.5509259259259259E-3</v>
      </c>
      <c r="F3" s="3">
        <v>1.5509259259259259E-3</v>
      </c>
      <c r="G3" s="3">
        <v>1.5509259259259259E-3</v>
      </c>
      <c r="H3" s="3">
        <v>1.5509259259259259E-3</v>
      </c>
      <c r="I3" s="3">
        <v>1.5509259259259259E-3</v>
      </c>
      <c r="J3" s="3">
        <v>1.5509259259259259E-3</v>
      </c>
      <c r="K3" s="3">
        <v>1.5509259259259259E-3</v>
      </c>
      <c r="L3" s="3">
        <v>1.5509259259259259E-3</v>
      </c>
      <c r="M3" s="3">
        <v>1.5509259259259259E-3</v>
      </c>
      <c r="N3" s="3">
        <v>1.5509259259259259E-3</v>
      </c>
      <c r="O3" s="3">
        <v>1.5509259259259259E-3</v>
      </c>
      <c r="P3" s="3">
        <v>1.5509259259259259E-3</v>
      </c>
      <c r="Q3" s="3">
        <v>1.5509259259259259E-3</v>
      </c>
      <c r="R3" t="s">
        <v>7</v>
      </c>
    </row>
    <row r="4" spans="1:20" x14ac:dyDescent="0.3">
      <c r="A4" s="2">
        <v>7000</v>
      </c>
      <c r="B4" s="7" t="s">
        <v>9</v>
      </c>
      <c r="C4" s="3">
        <v>1.3657407407407407E-3</v>
      </c>
      <c r="D4" s="3">
        <v>1.3657407407407407E-3</v>
      </c>
      <c r="E4" s="3">
        <v>1.3657407407407407E-3</v>
      </c>
      <c r="F4" s="3">
        <v>1.3657407407407407E-3</v>
      </c>
      <c r="G4" s="3">
        <v>1.3657407407407407E-3</v>
      </c>
      <c r="H4" s="3">
        <v>1.3657407407407407E-3</v>
      </c>
      <c r="I4" s="3">
        <v>1.3657407407407407E-3</v>
      </c>
      <c r="J4" s="3">
        <v>1.3657407407407407E-3</v>
      </c>
      <c r="K4" s="3">
        <v>1.3657407407407407E-3</v>
      </c>
      <c r="L4" s="3">
        <v>1.3657407407407407E-3</v>
      </c>
      <c r="M4" s="3">
        <v>1.3657407407407407E-3</v>
      </c>
      <c r="N4" s="3">
        <v>1.3657407407407407E-3</v>
      </c>
      <c r="O4" s="3">
        <v>1.3657407407407407E-3</v>
      </c>
      <c r="P4" s="3">
        <v>1.3657407407407407E-3</v>
      </c>
      <c r="Q4" s="3">
        <v>1.3657407407407407E-3</v>
      </c>
      <c r="R4" t="s">
        <v>10</v>
      </c>
    </row>
    <row r="5" spans="1:20" x14ac:dyDescent="0.3">
      <c r="A5" s="2">
        <v>31200</v>
      </c>
      <c r="B5" s="7" t="s">
        <v>11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t="s">
        <v>12</v>
      </c>
    </row>
    <row r="6" spans="1:20" x14ac:dyDescent="0.3">
      <c r="A6" s="2">
        <v>7900</v>
      </c>
      <c r="B6" s="7" t="s">
        <v>13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t="s">
        <v>14</v>
      </c>
    </row>
    <row r="7" spans="1:20" x14ac:dyDescent="0.3">
      <c r="A7" s="2">
        <v>31300</v>
      </c>
      <c r="B7" s="7" t="s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t="s">
        <v>15</v>
      </c>
    </row>
    <row r="8" spans="1:20" x14ac:dyDescent="0.3">
      <c r="A8" s="2">
        <v>3600</v>
      </c>
      <c r="B8" s="7" t="s">
        <v>16</v>
      </c>
      <c r="C8" s="3">
        <v>9.4907407407407408E-4</v>
      </c>
      <c r="D8" s="3">
        <v>9.4907407407407408E-4</v>
      </c>
      <c r="E8" s="3">
        <v>9.4907407407407408E-4</v>
      </c>
      <c r="F8" s="3">
        <v>9.4907407407407408E-4</v>
      </c>
      <c r="G8" s="3">
        <v>9.4907407407407408E-4</v>
      </c>
      <c r="H8" s="3">
        <v>9.4907407407407408E-4</v>
      </c>
      <c r="I8" s="3">
        <v>9.4907407407407408E-4</v>
      </c>
      <c r="J8" s="3">
        <v>9.4907407407407408E-4</v>
      </c>
      <c r="K8" s="3">
        <v>9.4907407407407408E-4</v>
      </c>
      <c r="L8" s="3">
        <v>9.4907407407407408E-4</v>
      </c>
      <c r="M8" s="3">
        <v>9.4907407407407408E-4</v>
      </c>
      <c r="N8" s="3">
        <v>9.4907407407407408E-4</v>
      </c>
      <c r="O8" s="3">
        <v>9.4907407407407408E-4</v>
      </c>
      <c r="P8" s="3">
        <v>9.4907407407407408E-4</v>
      </c>
      <c r="Q8" s="3">
        <v>9.4907407407407408E-4</v>
      </c>
      <c r="R8" t="s">
        <v>17</v>
      </c>
    </row>
    <row r="9" spans="1:20" x14ac:dyDescent="0.3">
      <c r="A9" s="2">
        <v>20350</v>
      </c>
      <c r="B9" s="7" t="s">
        <v>18</v>
      </c>
      <c r="C9" s="25">
        <v>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3">
        <v>1.6203703703703703E-4</v>
      </c>
      <c r="O9" s="3">
        <v>8.564814814814815E-4</v>
      </c>
      <c r="P9" s="3">
        <v>0</v>
      </c>
      <c r="Q9" s="3">
        <v>0</v>
      </c>
      <c r="R9" t="s">
        <v>19</v>
      </c>
    </row>
    <row r="10" spans="1:20" x14ac:dyDescent="0.3">
      <c r="A10" s="4">
        <v>31200</v>
      </c>
      <c r="B10" s="8" t="s">
        <v>18</v>
      </c>
      <c r="C10" s="5">
        <v>1.1574074074074075E-4</v>
      </c>
      <c r="D10" s="5">
        <v>1.1574074074074075E-4</v>
      </c>
      <c r="E10" s="5">
        <v>1.1574074074074075E-4</v>
      </c>
      <c r="F10" s="5">
        <v>1.1574074074074075E-4</v>
      </c>
      <c r="G10" s="5">
        <v>1.1574074074074075E-4</v>
      </c>
      <c r="H10" s="5">
        <v>1.1574074074074075E-4</v>
      </c>
      <c r="I10" s="5">
        <v>1.1574074074074075E-4</v>
      </c>
      <c r="J10" s="5">
        <v>1.1574074074074075E-4</v>
      </c>
      <c r="K10" s="5">
        <v>1.1574074074074075E-4</v>
      </c>
      <c r="L10" s="5">
        <v>1.1574074074074075E-4</v>
      </c>
      <c r="M10" s="5">
        <v>1.1574074074074075E-4</v>
      </c>
      <c r="N10" s="5">
        <v>1.1574074074074075E-4</v>
      </c>
      <c r="O10" s="5">
        <v>1.1574074074074075E-4</v>
      </c>
      <c r="P10" s="5">
        <v>1.1574074074074075E-4</v>
      </c>
      <c r="Q10" s="5">
        <v>1.1574074074074075E-4</v>
      </c>
    </row>
    <row r="11" spans="1:20" x14ac:dyDescent="0.3">
      <c r="A11" s="2">
        <v>31200</v>
      </c>
      <c r="B11" s="7" t="s">
        <v>24</v>
      </c>
      <c r="C11" s="3">
        <v>1.6203703703703703E-4</v>
      </c>
      <c r="D11" s="3">
        <v>1.6203703703703703E-4</v>
      </c>
      <c r="E11" s="3">
        <v>1.6203703703703703E-4</v>
      </c>
      <c r="F11" s="3">
        <v>1.6203703703703703E-4</v>
      </c>
      <c r="G11" s="3">
        <v>1.6203703703703703E-4</v>
      </c>
      <c r="H11" s="3">
        <v>1.6203703703703703E-4</v>
      </c>
      <c r="I11" s="3">
        <v>1.6203703703703703E-4</v>
      </c>
      <c r="J11" s="3">
        <v>1.6203703703703703E-4</v>
      </c>
      <c r="K11" s="3">
        <v>1.6203703703703703E-4</v>
      </c>
      <c r="L11" s="3">
        <v>1.6203703703703703E-4</v>
      </c>
      <c r="M11" s="3">
        <v>1.6203703703703703E-4</v>
      </c>
      <c r="N11" s="3">
        <v>1.6203703703703703E-4</v>
      </c>
      <c r="O11" s="3">
        <v>1.6203703703703703E-4</v>
      </c>
      <c r="P11" s="3">
        <v>1.6203703703703703E-4</v>
      </c>
      <c r="Q11" s="3">
        <v>1.6203703703703703E-4</v>
      </c>
    </row>
    <row r="12" spans="1:20" x14ac:dyDescent="0.3">
      <c r="A12" s="2">
        <v>7900</v>
      </c>
      <c r="B12" s="7" t="s">
        <v>16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</row>
    <row r="13" spans="1:20" x14ac:dyDescent="0.3">
      <c r="A13" s="9" t="s">
        <v>25</v>
      </c>
      <c r="B13" s="9"/>
      <c r="C13" s="10">
        <f t="shared" ref="C13:Q13" si="0">SUM(C3:C8)</f>
        <v>3.8657407407407403E-3</v>
      </c>
      <c r="D13" s="10">
        <f t="shared" si="0"/>
        <v>3.8657407407407403E-3</v>
      </c>
      <c r="E13" s="10">
        <f t="shared" si="0"/>
        <v>3.8657407407407403E-3</v>
      </c>
      <c r="F13" s="10">
        <f t="shared" si="0"/>
        <v>3.8657407407407403E-3</v>
      </c>
      <c r="G13" s="10">
        <f t="shared" si="0"/>
        <v>3.8657407407407403E-3</v>
      </c>
      <c r="H13" s="10">
        <f t="shared" si="0"/>
        <v>3.8657407407407403E-3</v>
      </c>
      <c r="I13" s="10">
        <f t="shared" si="0"/>
        <v>3.8657407407407403E-3</v>
      </c>
      <c r="J13" s="10">
        <f t="shared" si="0"/>
        <v>3.8657407407407403E-3</v>
      </c>
      <c r="K13" s="10">
        <f t="shared" si="0"/>
        <v>3.8657407407407403E-3</v>
      </c>
      <c r="L13" s="10">
        <f t="shared" si="0"/>
        <v>3.8657407407407403E-3</v>
      </c>
      <c r="M13" s="10">
        <f t="shared" si="0"/>
        <v>3.8657407407407403E-3</v>
      </c>
      <c r="N13" s="10">
        <f t="shared" si="0"/>
        <v>3.8657407407407403E-3</v>
      </c>
      <c r="O13" s="10">
        <f t="shared" si="0"/>
        <v>3.8657407407407403E-3</v>
      </c>
      <c r="P13" s="10">
        <f t="shared" si="0"/>
        <v>3.8657407407407403E-3</v>
      </c>
      <c r="Q13" s="10">
        <f t="shared" si="0"/>
        <v>3.8657407407407403E-3</v>
      </c>
    </row>
    <row r="15" spans="1:20" x14ac:dyDescent="0.3">
      <c r="A15" s="2" t="s">
        <v>2</v>
      </c>
      <c r="B15" s="2" t="s">
        <v>3</v>
      </c>
      <c r="C15" t="b">
        <f t="shared" ref="C15:D15" si="1">C2&lt;6/1440</f>
        <v>0</v>
      </c>
      <c r="D15" t="b">
        <f t="shared" si="1"/>
        <v>0</v>
      </c>
      <c r="E15" t="b">
        <f>E2&lt;6/1440</f>
        <v>0</v>
      </c>
      <c r="F15" t="b">
        <f t="shared" ref="F15:Q15" si="2">F2&lt;6/1440</f>
        <v>0</v>
      </c>
      <c r="G15" t="b">
        <f t="shared" si="2"/>
        <v>0</v>
      </c>
      <c r="H15" t="b">
        <f t="shared" si="2"/>
        <v>0</v>
      </c>
      <c r="I15" t="b">
        <f t="shared" si="2"/>
        <v>0</v>
      </c>
      <c r="J15" t="b">
        <f t="shared" si="2"/>
        <v>0</v>
      </c>
      <c r="K15" t="b">
        <f t="shared" si="2"/>
        <v>0</v>
      </c>
      <c r="L15" t="b">
        <f t="shared" si="2"/>
        <v>0</v>
      </c>
      <c r="M15" t="b">
        <f t="shared" si="2"/>
        <v>0</v>
      </c>
      <c r="N15" t="b">
        <f t="shared" si="2"/>
        <v>0</v>
      </c>
      <c r="O15" t="b">
        <f t="shared" si="2"/>
        <v>0</v>
      </c>
      <c r="P15" t="b">
        <f t="shared" si="2"/>
        <v>0</v>
      </c>
      <c r="Q15" t="b">
        <f t="shared" si="2"/>
        <v>0</v>
      </c>
    </row>
    <row r="16" spans="1:20" x14ac:dyDescent="0.3">
      <c r="A16" s="2">
        <v>1700</v>
      </c>
      <c r="B16" s="2" t="s">
        <v>6</v>
      </c>
      <c r="C16" t="b">
        <f t="shared" ref="C16:E21" si="3">C3&lt;3/1440</f>
        <v>1</v>
      </c>
      <c r="D16" t="b">
        <f t="shared" si="3"/>
        <v>1</v>
      </c>
      <c r="E16" t="b">
        <f t="shared" si="3"/>
        <v>1</v>
      </c>
      <c r="F16" t="b">
        <f t="shared" ref="F16:Q21" si="4">F3&lt;3/1440</f>
        <v>1</v>
      </c>
      <c r="G16" t="b">
        <f t="shared" si="4"/>
        <v>1</v>
      </c>
      <c r="H16" t="b">
        <f t="shared" si="4"/>
        <v>1</v>
      </c>
      <c r="I16" t="b">
        <f t="shared" si="4"/>
        <v>1</v>
      </c>
      <c r="J16" t="b">
        <f t="shared" si="4"/>
        <v>1</v>
      </c>
      <c r="K16" t="b">
        <f t="shared" si="4"/>
        <v>1</v>
      </c>
      <c r="L16" t="b">
        <f t="shared" si="4"/>
        <v>1</v>
      </c>
      <c r="M16" t="b">
        <f t="shared" si="4"/>
        <v>1</v>
      </c>
      <c r="N16" t="b">
        <f t="shared" si="4"/>
        <v>1</v>
      </c>
      <c r="O16" t="b">
        <f t="shared" si="4"/>
        <v>1</v>
      </c>
      <c r="P16" t="b">
        <f t="shared" si="4"/>
        <v>1</v>
      </c>
      <c r="Q16" t="b">
        <f t="shared" si="4"/>
        <v>1</v>
      </c>
    </row>
    <row r="17" spans="1:18" x14ac:dyDescent="0.3">
      <c r="A17" s="2">
        <v>7000</v>
      </c>
      <c r="B17" s="2" t="s">
        <v>9</v>
      </c>
      <c r="C17" t="b">
        <f t="shared" si="3"/>
        <v>1</v>
      </c>
      <c r="D17" t="b">
        <f t="shared" si="3"/>
        <v>1</v>
      </c>
      <c r="E17" t="b">
        <f t="shared" si="3"/>
        <v>1</v>
      </c>
      <c r="F17" t="b">
        <f t="shared" ref="F17:O17" si="5">F4&lt;3/1440</f>
        <v>1</v>
      </c>
      <c r="G17" t="b">
        <f t="shared" si="5"/>
        <v>1</v>
      </c>
      <c r="H17" t="b">
        <f t="shared" si="5"/>
        <v>1</v>
      </c>
      <c r="I17" t="b">
        <f t="shared" si="5"/>
        <v>1</v>
      </c>
      <c r="J17" t="b">
        <f t="shared" si="5"/>
        <v>1</v>
      </c>
      <c r="K17" t="b">
        <f t="shared" si="5"/>
        <v>1</v>
      </c>
      <c r="L17" t="b">
        <f t="shared" si="5"/>
        <v>1</v>
      </c>
      <c r="M17" t="b">
        <f t="shared" si="5"/>
        <v>1</v>
      </c>
      <c r="N17" t="b">
        <f t="shared" si="5"/>
        <v>1</v>
      </c>
      <c r="O17" t="b">
        <f t="shared" si="5"/>
        <v>1</v>
      </c>
      <c r="P17" t="b">
        <f t="shared" si="4"/>
        <v>1</v>
      </c>
      <c r="Q17" t="b">
        <f t="shared" si="4"/>
        <v>1</v>
      </c>
    </row>
    <row r="18" spans="1:18" x14ac:dyDescent="0.3">
      <c r="A18" s="2">
        <v>31200</v>
      </c>
      <c r="B18" s="2" t="s">
        <v>11</v>
      </c>
      <c r="C18" t="b">
        <f t="shared" si="3"/>
        <v>1</v>
      </c>
      <c r="D18" t="b">
        <f t="shared" si="3"/>
        <v>1</v>
      </c>
      <c r="E18" t="b">
        <f t="shared" si="3"/>
        <v>1</v>
      </c>
      <c r="F18" t="b">
        <f t="shared" ref="F18:O18" si="6">F5&lt;3/1440</f>
        <v>1</v>
      </c>
      <c r="G18" t="b">
        <f t="shared" si="6"/>
        <v>1</v>
      </c>
      <c r="H18" t="b">
        <f t="shared" si="6"/>
        <v>1</v>
      </c>
      <c r="I18" t="b">
        <f t="shared" si="6"/>
        <v>1</v>
      </c>
      <c r="J18" t="b">
        <f t="shared" si="6"/>
        <v>1</v>
      </c>
      <c r="K18" t="b">
        <f t="shared" si="6"/>
        <v>1</v>
      </c>
      <c r="L18" t="b">
        <f t="shared" si="6"/>
        <v>1</v>
      </c>
      <c r="M18" t="b">
        <f t="shared" si="6"/>
        <v>1</v>
      </c>
      <c r="N18" t="b">
        <f t="shared" si="6"/>
        <v>1</v>
      </c>
      <c r="O18" t="b">
        <f t="shared" si="6"/>
        <v>1</v>
      </c>
      <c r="P18" t="b">
        <f t="shared" si="4"/>
        <v>1</v>
      </c>
      <c r="Q18" t="b">
        <f t="shared" si="4"/>
        <v>1</v>
      </c>
    </row>
    <row r="19" spans="1:18" x14ac:dyDescent="0.3">
      <c r="A19" s="2">
        <v>7900</v>
      </c>
      <c r="B19" s="2" t="s">
        <v>13</v>
      </c>
      <c r="C19" t="b">
        <f t="shared" si="3"/>
        <v>1</v>
      </c>
      <c r="D19" t="b">
        <f t="shared" si="3"/>
        <v>1</v>
      </c>
      <c r="E19" t="b">
        <f t="shared" si="3"/>
        <v>1</v>
      </c>
      <c r="F19" t="b">
        <f t="shared" ref="F19:O19" si="7">F6&lt;3/1440</f>
        <v>1</v>
      </c>
      <c r="G19" t="b">
        <f t="shared" si="7"/>
        <v>1</v>
      </c>
      <c r="H19" t="b">
        <f t="shared" si="7"/>
        <v>1</v>
      </c>
      <c r="I19" t="b">
        <f t="shared" si="7"/>
        <v>1</v>
      </c>
      <c r="J19" t="b">
        <f t="shared" si="7"/>
        <v>1</v>
      </c>
      <c r="K19" t="b">
        <f t="shared" si="7"/>
        <v>1</v>
      </c>
      <c r="L19" t="b">
        <f t="shared" si="7"/>
        <v>1</v>
      </c>
      <c r="M19" t="b">
        <f t="shared" si="7"/>
        <v>1</v>
      </c>
      <c r="N19" t="b">
        <f t="shared" si="7"/>
        <v>1</v>
      </c>
      <c r="O19" t="b">
        <f t="shared" si="7"/>
        <v>1</v>
      </c>
      <c r="P19" t="b">
        <f t="shared" si="4"/>
        <v>1</v>
      </c>
      <c r="Q19" t="b">
        <f t="shared" si="4"/>
        <v>1</v>
      </c>
    </row>
    <row r="20" spans="1:18" x14ac:dyDescent="0.3">
      <c r="A20" s="2">
        <v>31300</v>
      </c>
      <c r="B20" s="2" t="s">
        <v>3</v>
      </c>
      <c r="C20" t="b">
        <f t="shared" si="3"/>
        <v>1</v>
      </c>
      <c r="D20" t="b">
        <f t="shared" si="3"/>
        <v>1</v>
      </c>
      <c r="E20" t="b">
        <f t="shared" si="3"/>
        <v>1</v>
      </c>
      <c r="F20" t="b">
        <f t="shared" ref="F20:O21" si="8">F7&lt;3/1440</f>
        <v>1</v>
      </c>
      <c r="G20" t="b">
        <f t="shared" si="8"/>
        <v>1</v>
      </c>
      <c r="H20" t="b">
        <f t="shared" si="8"/>
        <v>1</v>
      </c>
      <c r="I20" t="b">
        <f t="shared" si="8"/>
        <v>1</v>
      </c>
      <c r="J20" t="b">
        <f t="shared" si="8"/>
        <v>1</v>
      </c>
      <c r="K20" t="b">
        <f t="shared" si="8"/>
        <v>1</v>
      </c>
      <c r="L20" t="b">
        <f t="shared" si="8"/>
        <v>1</v>
      </c>
      <c r="M20" t="b">
        <f t="shared" si="8"/>
        <v>1</v>
      </c>
      <c r="N20" t="b">
        <f t="shared" si="8"/>
        <v>1</v>
      </c>
      <c r="O20" t="b">
        <f t="shared" si="8"/>
        <v>1</v>
      </c>
      <c r="P20" t="b">
        <f t="shared" si="4"/>
        <v>1</v>
      </c>
      <c r="Q20" t="b">
        <f t="shared" si="4"/>
        <v>1</v>
      </c>
    </row>
    <row r="21" spans="1:18" x14ac:dyDescent="0.3">
      <c r="A21" s="2">
        <v>3600</v>
      </c>
      <c r="B21" s="2" t="s">
        <v>16</v>
      </c>
      <c r="C21" t="b">
        <f t="shared" si="3"/>
        <v>1</v>
      </c>
      <c r="D21" t="b">
        <f t="shared" si="3"/>
        <v>1</v>
      </c>
      <c r="E21" t="b">
        <f t="shared" si="3"/>
        <v>1</v>
      </c>
      <c r="F21" t="b">
        <f t="shared" si="8"/>
        <v>1</v>
      </c>
      <c r="G21" t="b">
        <f t="shared" si="8"/>
        <v>1</v>
      </c>
      <c r="H21" t="b">
        <f t="shared" si="8"/>
        <v>1</v>
      </c>
      <c r="I21" t="b">
        <f t="shared" si="8"/>
        <v>1</v>
      </c>
      <c r="J21" t="b">
        <f t="shared" si="8"/>
        <v>1</v>
      </c>
      <c r="K21" t="b">
        <f t="shared" si="8"/>
        <v>1</v>
      </c>
      <c r="L21" t="b">
        <f t="shared" si="8"/>
        <v>1</v>
      </c>
      <c r="M21" t="b">
        <f t="shared" si="8"/>
        <v>1</v>
      </c>
      <c r="N21" t="b">
        <f t="shared" si="8"/>
        <v>1</v>
      </c>
      <c r="O21" t="b">
        <f t="shared" si="8"/>
        <v>1</v>
      </c>
      <c r="P21" t="b">
        <f t="shared" si="4"/>
        <v>1</v>
      </c>
      <c r="Q21" t="b">
        <f t="shared" si="4"/>
        <v>1</v>
      </c>
    </row>
    <row r="22" spans="1:18" x14ac:dyDescent="0.3">
      <c r="A22" s="2">
        <v>20350</v>
      </c>
      <c r="B22" s="2" t="s">
        <v>18</v>
      </c>
      <c r="C22" t="b">
        <f t="shared" ref="C22:Q23" si="9">C9&lt;3/1440</f>
        <v>1</v>
      </c>
      <c r="D22" t="b">
        <f t="shared" si="9"/>
        <v>1</v>
      </c>
      <c r="E22" t="b">
        <f t="shared" si="9"/>
        <v>1</v>
      </c>
      <c r="F22" t="b">
        <f t="shared" si="9"/>
        <v>1</v>
      </c>
      <c r="G22" t="b">
        <f t="shared" si="9"/>
        <v>1</v>
      </c>
      <c r="H22" t="b">
        <f t="shared" si="9"/>
        <v>1</v>
      </c>
      <c r="I22" t="b">
        <f t="shared" si="9"/>
        <v>1</v>
      </c>
      <c r="J22" t="b">
        <f t="shared" si="9"/>
        <v>1</v>
      </c>
      <c r="K22" t="b">
        <f t="shared" si="9"/>
        <v>1</v>
      </c>
      <c r="L22" t="b">
        <f t="shared" si="9"/>
        <v>1</v>
      </c>
      <c r="M22" t="b">
        <f t="shared" si="9"/>
        <v>1</v>
      </c>
      <c r="N22" t="b">
        <f t="shared" si="9"/>
        <v>1</v>
      </c>
      <c r="O22" t="b">
        <f t="shared" si="9"/>
        <v>1</v>
      </c>
      <c r="P22" t="b">
        <f t="shared" si="9"/>
        <v>1</v>
      </c>
      <c r="Q22" t="b">
        <f t="shared" si="9"/>
        <v>1</v>
      </c>
    </row>
    <row r="23" spans="1:18" x14ac:dyDescent="0.3">
      <c r="A23" s="2">
        <v>31200</v>
      </c>
      <c r="B23" s="2" t="s">
        <v>18</v>
      </c>
      <c r="C23" t="b">
        <f t="shared" si="9"/>
        <v>1</v>
      </c>
      <c r="D23" t="b">
        <f t="shared" si="9"/>
        <v>1</v>
      </c>
      <c r="E23" t="b">
        <f t="shared" si="9"/>
        <v>1</v>
      </c>
      <c r="F23" t="b">
        <f t="shared" si="9"/>
        <v>1</v>
      </c>
      <c r="G23" t="b">
        <f t="shared" si="9"/>
        <v>1</v>
      </c>
      <c r="H23" t="b">
        <f t="shared" si="9"/>
        <v>1</v>
      </c>
      <c r="I23" t="b">
        <f t="shared" si="9"/>
        <v>1</v>
      </c>
      <c r="J23" t="b">
        <f t="shared" si="9"/>
        <v>1</v>
      </c>
      <c r="K23" t="b">
        <f t="shared" si="9"/>
        <v>1</v>
      </c>
      <c r="L23" t="b">
        <f t="shared" si="9"/>
        <v>1</v>
      </c>
      <c r="M23" t="b">
        <f t="shared" si="9"/>
        <v>1</v>
      </c>
      <c r="N23" t="b">
        <f t="shared" si="9"/>
        <v>1</v>
      </c>
      <c r="O23" t="b">
        <f t="shared" si="9"/>
        <v>1</v>
      </c>
      <c r="P23" t="b">
        <f t="shared" si="9"/>
        <v>1</v>
      </c>
      <c r="Q23" t="b">
        <f t="shared" si="9"/>
        <v>1</v>
      </c>
    </row>
    <row r="24" spans="1:18" x14ac:dyDescent="0.3">
      <c r="A24" s="2">
        <v>31200</v>
      </c>
      <c r="B24" s="2" t="s">
        <v>24</v>
      </c>
      <c r="C24" t="b">
        <f t="shared" ref="C24:D24" si="10">C10&lt;3/1440</f>
        <v>1</v>
      </c>
      <c r="D24" t="b">
        <f t="shared" si="10"/>
        <v>1</v>
      </c>
      <c r="E24" t="b">
        <f t="shared" ref="E24:O24" si="11">E10&lt;3/1440</f>
        <v>1</v>
      </c>
      <c r="F24" t="b">
        <f t="shared" si="11"/>
        <v>1</v>
      </c>
      <c r="G24" t="b">
        <f t="shared" si="11"/>
        <v>1</v>
      </c>
      <c r="H24" t="b">
        <f t="shared" si="11"/>
        <v>1</v>
      </c>
      <c r="I24" t="b">
        <f t="shared" si="11"/>
        <v>1</v>
      </c>
      <c r="J24" t="b">
        <f t="shared" si="11"/>
        <v>1</v>
      </c>
      <c r="K24" t="b">
        <f t="shared" si="11"/>
        <v>1</v>
      </c>
      <c r="L24" t="b">
        <f t="shared" si="11"/>
        <v>1</v>
      </c>
      <c r="M24" t="b">
        <f t="shared" si="11"/>
        <v>1</v>
      </c>
      <c r="N24" t="b">
        <f t="shared" si="11"/>
        <v>1</v>
      </c>
      <c r="O24" t="b">
        <f t="shared" si="11"/>
        <v>1</v>
      </c>
      <c r="P24" t="b">
        <f t="shared" ref="P24:Q24" si="12">P10&lt;3/1440</f>
        <v>1</v>
      </c>
      <c r="Q24" t="b">
        <f t="shared" si="12"/>
        <v>1</v>
      </c>
    </row>
    <row r="25" spans="1:18" x14ac:dyDescent="0.3">
      <c r="A25" s="2">
        <v>7900</v>
      </c>
      <c r="B25" s="2" t="s">
        <v>16</v>
      </c>
      <c r="C25" t="b">
        <f t="shared" ref="C25:Q25" si="13">C12&lt;3/1440</f>
        <v>1</v>
      </c>
      <c r="D25" t="b">
        <f t="shared" si="13"/>
        <v>1</v>
      </c>
      <c r="E25" t="b">
        <f t="shared" si="13"/>
        <v>1</v>
      </c>
      <c r="F25" t="b">
        <f t="shared" si="13"/>
        <v>1</v>
      </c>
      <c r="G25" t="b">
        <f t="shared" si="13"/>
        <v>1</v>
      </c>
      <c r="H25" t="b">
        <f t="shared" si="13"/>
        <v>1</v>
      </c>
      <c r="I25" t="b">
        <f t="shared" si="13"/>
        <v>1</v>
      </c>
      <c r="J25" t="b">
        <f t="shared" si="13"/>
        <v>1</v>
      </c>
      <c r="K25" t="b">
        <f t="shared" si="13"/>
        <v>1</v>
      </c>
      <c r="L25" t="b">
        <f t="shared" si="13"/>
        <v>1</v>
      </c>
      <c r="M25" t="b">
        <f t="shared" si="13"/>
        <v>1</v>
      </c>
      <c r="N25" t="b">
        <f t="shared" si="13"/>
        <v>1</v>
      </c>
      <c r="O25" t="b">
        <f t="shared" si="13"/>
        <v>1</v>
      </c>
      <c r="P25" t="b">
        <f t="shared" si="13"/>
        <v>1</v>
      </c>
      <c r="Q25" t="b">
        <f t="shared" si="13"/>
        <v>1</v>
      </c>
    </row>
    <row r="26" spans="1:18" x14ac:dyDescent="0.3">
      <c r="A26" t="s">
        <v>31</v>
      </c>
      <c r="C26" s="12">
        <f>COUNTIF(C16:C21,TRUE) / 6</f>
        <v>1</v>
      </c>
      <c r="D26" s="12">
        <f t="shared" ref="D26:Q26" si="14">COUNTIF(D16:D21,TRUE) / 6</f>
        <v>1</v>
      </c>
      <c r="E26" s="12">
        <f t="shared" si="14"/>
        <v>1</v>
      </c>
      <c r="F26" s="12">
        <f t="shared" si="14"/>
        <v>1</v>
      </c>
      <c r="G26" s="12">
        <f t="shared" si="14"/>
        <v>1</v>
      </c>
      <c r="H26" s="12">
        <f t="shared" si="14"/>
        <v>1</v>
      </c>
      <c r="I26" s="12">
        <f t="shared" si="14"/>
        <v>1</v>
      </c>
      <c r="J26" s="12">
        <f t="shared" si="14"/>
        <v>1</v>
      </c>
      <c r="K26" s="12">
        <f t="shared" si="14"/>
        <v>1</v>
      </c>
      <c r="L26" s="12">
        <f t="shared" si="14"/>
        <v>1</v>
      </c>
      <c r="M26" s="12">
        <f t="shared" si="14"/>
        <v>1</v>
      </c>
      <c r="N26" s="12">
        <f t="shared" si="14"/>
        <v>1</v>
      </c>
      <c r="O26" s="12">
        <f t="shared" si="14"/>
        <v>1</v>
      </c>
      <c r="P26" s="12">
        <f t="shared" si="14"/>
        <v>1</v>
      </c>
      <c r="Q26" s="12">
        <f t="shared" si="14"/>
        <v>1</v>
      </c>
    </row>
    <row r="28" spans="1:18" x14ac:dyDescent="0.3">
      <c r="A28" t="s">
        <v>33</v>
      </c>
      <c r="C28" s="3">
        <f t="shared" ref="C28:Q28" si="15">C2-C1</f>
        <v>1.5509259259259261E-2</v>
      </c>
      <c r="D28" s="3">
        <f t="shared" si="15"/>
        <v>1.4814814814814815E-2</v>
      </c>
      <c r="E28" s="3">
        <f t="shared" si="15"/>
        <v>1.4120370370370372E-2</v>
      </c>
      <c r="F28" s="3">
        <f t="shared" si="15"/>
        <v>1.3425925925925928E-2</v>
      </c>
      <c r="G28" s="3">
        <f t="shared" si="15"/>
        <v>1.2731481481481483E-2</v>
      </c>
      <c r="H28" s="3">
        <f t="shared" si="15"/>
        <v>1.2037037037037044E-2</v>
      </c>
      <c r="I28" s="3">
        <f t="shared" si="15"/>
        <v>1.1342592592592593E-2</v>
      </c>
      <c r="J28" s="3">
        <f t="shared" si="15"/>
        <v>1.0648148148148153E-2</v>
      </c>
      <c r="K28" s="3">
        <f t="shared" si="15"/>
        <v>9.9537037037037042E-3</v>
      </c>
      <c r="L28" s="3">
        <f t="shared" si="15"/>
        <v>9.2592592592592639E-3</v>
      </c>
      <c r="M28" s="3">
        <f t="shared" si="15"/>
        <v>8.5648148148148133E-3</v>
      </c>
      <c r="N28" s="3">
        <f t="shared" si="15"/>
        <v>7.8703703703703731E-3</v>
      </c>
      <c r="O28" s="3">
        <f t="shared" si="15"/>
        <v>7.1759259259258929E-3</v>
      </c>
      <c r="P28" s="3">
        <f t="shared" si="15"/>
        <v>3.7037037037037056E-3</v>
      </c>
      <c r="Q28" s="3">
        <f t="shared" si="15"/>
        <v>2.3148148148148182E-4</v>
      </c>
      <c r="R28" t="s">
        <v>61</v>
      </c>
    </row>
    <row r="29" spans="1:18" x14ac:dyDescent="0.3">
      <c r="A29" t="s">
        <v>33</v>
      </c>
      <c r="C29" s="3">
        <f t="shared" ref="C29:Q29" si="16">C1-C2</f>
        <v>-1.5509259259259261E-2</v>
      </c>
      <c r="D29" s="3">
        <f t="shared" si="16"/>
        <v>-1.4814814814814815E-2</v>
      </c>
      <c r="E29" s="3">
        <f t="shared" si="16"/>
        <v>-1.4120370370370372E-2</v>
      </c>
      <c r="F29" s="3">
        <f t="shared" si="16"/>
        <v>-1.3425925925925928E-2</v>
      </c>
      <c r="G29" s="3">
        <f t="shared" si="16"/>
        <v>-1.2731481481481483E-2</v>
      </c>
      <c r="H29" s="3">
        <f t="shared" si="16"/>
        <v>-1.2037037037037044E-2</v>
      </c>
      <c r="I29" s="3">
        <f t="shared" si="16"/>
        <v>-1.1342592592592593E-2</v>
      </c>
      <c r="J29" s="3">
        <f t="shared" si="16"/>
        <v>-1.0648148148148153E-2</v>
      </c>
      <c r="K29" s="3">
        <f t="shared" si="16"/>
        <v>-9.9537037037037042E-3</v>
      </c>
      <c r="L29" s="3">
        <f t="shared" si="16"/>
        <v>-9.2592592592592639E-3</v>
      </c>
      <c r="M29" s="3">
        <f t="shared" si="16"/>
        <v>-8.5648148148148133E-3</v>
      </c>
      <c r="N29" s="3">
        <f t="shared" si="16"/>
        <v>-7.8703703703703731E-3</v>
      </c>
      <c r="O29" s="3">
        <f t="shared" si="16"/>
        <v>-7.1759259259258929E-3</v>
      </c>
      <c r="P29" s="3">
        <f t="shared" si="16"/>
        <v>-3.7037037037037056E-3</v>
      </c>
      <c r="Q29" s="3">
        <f t="shared" si="16"/>
        <v>-2.3148148148148182E-4</v>
      </c>
      <c r="R29" t="s">
        <v>62</v>
      </c>
    </row>
    <row r="31" spans="1:18" x14ac:dyDescent="0.3">
      <c r="A31" t="s">
        <v>38</v>
      </c>
      <c r="C31" s="12">
        <f>(C20+C21+C23+C24+C25)/5</f>
        <v>1</v>
      </c>
      <c r="D31" s="12">
        <f t="shared" ref="D31:Q31" si="17">(D20+D21+D23+D24+D25)/5</f>
        <v>1</v>
      </c>
      <c r="E31" s="12">
        <f t="shared" si="17"/>
        <v>1</v>
      </c>
      <c r="F31" s="12">
        <f t="shared" si="17"/>
        <v>1</v>
      </c>
      <c r="G31" s="12">
        <f t="shared" si="17"/>
        <v>1</v>
      </c>
      <c r="H31" s="12">
        <f t="shared" si="17"/>
        <v>1</v>
      </c>
      <c r="I31" s="12">
        <f t="shared" si="17"/>
        <v>1</v>
      </c>
      <c r="J31" s="12">
        <f t="shared" si="17"/>
        <v>1</v>
      </c>
      <c r="K31" s="12">
        <f t="shared" si="17"/>
        <v>1</v>
      </c>
      <c r="L31" s="12">
        <f t="shared" si="17"/>
        <v>1</v>
      </c>
      <c r="M31" s="12">
        <f t="shared" si="17"/>
        <v>1</v>
      </c>
      <c r="N31" s="12">
        <f t="shared" si="17"/>
        <v>1</v>
      </c>
      <c r="O31" s="12">
        <f t="shared" si="17"/>
        <v>1</v>
      </c>
      <c r="P31" s="12">
        <f t="shared" si="17"/>
        <v>1</v>
      </c>
      <c r="Q31" s="12">
        <f t="shared" si="17"/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75495-E27D-4190-950C-85146D4F1C72}">
  <dimension ref="A1:T31"/>
  <sheetViews>
    <sheetView topLeftCell="A6" workbookViewId="0">
      <selection activeCell="C31" sqref="C31"/>
    </sheetView>
  </sheetViews>
  <sheetFormatPr defaultRowHeight="14.4" x14ac:dyDescent="0.3"/>
  <cols>
    <col min="1" max="17" width="10.6640625" customWidth="1"/>
  </cols>
  <sheetData>
    <row r="1" spans="1:20" x14ac:dyDescent="0.3">
      <c r="A1" s="17" t="s">
        <v>0</v>
      </c>
      <c r="B1" s="18"/>
      <c r="C1" s="19">
        <v>2.0833333333333333E-3</v>
      </c>
      <c r="D1" s="19">
        <v>2.7777777777777779E-3</v>
      </c>
      <c r="E1" s="19">
        <v>3.472222222222222E-3</v>
      </c>
      <c r="F1" s="19">
        <v>4.1666666666666666E-3</v>
      </c>
      <c r="G1" s="19">
        <v>4.8611111111111103E-3</v>
      </c>
      <c r="H1" s="19">
        <v>5.5555555555555497E-3</v>
      </c>
      <c r="I1" s="19">
        <v>6.2500000000000003E-3</v>
      </c>
      <c r="J1" s="19">
        <v>6.9444444444444397E-3</v>
      </c>
      <c r="K1" s="19">
        <v>7.6388888888888904E-3</v>
      </c>
      <c r="L1" s="19">
        <v>8.3333333333333297E-3</v>
      </c>
      <c r="M1" s="19">
        <v>9.0277777777777804E-3</v>
      </c>
      <c r="N1" s="19">
        <v>9.7222222222222206E-3</v>
      </c>
      <c r="O1" s="19">
        <v>1.0416666666666701E-2</v>
      </c>
      <c r="P1" s="19">
        <v>1.3888888888888888E-2</v>
      </c>
      <c r="Q1" s="19">
        <v>1.7361111111111112E-2</v>
      </c>
      <c r="R1" t="s">
        <v>1</v>
      </c>
    </row>
    <row r="2" spans="1:20" x14ac:dyDescent="0.3">
      <c r="A2" s="20" t="s">
        <v>2</v>
      </c>
      <c r="B2" s="21" t="s">
        <v>3</v>
      </c>
      <c r="C2" s="22">
        <v>0</v>
      </c>
      <c r="D2" s="22">
        <v>0</v>
      </c>
      <c r="E2" s="22">
        <v>0</v>
      </c>
      <c r="F2" s="22">
        <v>3.7037037037037035E-4</v>
      </c>
      <c r="G2" s="22">
        <v>2.0833333333333333E-3</v>
      </c>
      <c r="H2" s="22">
        <v>2.0601851851851853E-3</v>
      </c>
      <c r="I2" s="22">
        <v>2.4537037037037036E-3</v>
      </c>
      <c r="J2" s="22">
        <v>9.6990740740740735E-3</v>
      </c>
      <c r="K2" s="22">
        <v>9.6990740740740735E-3</v>
      </c>
      <c r="L2" s="22">
        <v>9.6990740740740735E-3</v>
      </c>
      <c r="M2" s="22">
        <v>9.6990740740740735E-3</v>
      </c>
      <c r="N2" s="22">
        <v>9.6990740740740735E-3</v>
      </c>
      <c r="O2" s="22">
        <v>9.6990740740740735E-3</v>
      </c>
      <c r="P2" s="22">
        <v>1.1319444444444444E-2</v>
      </c>
      <c r="Q2" s="22">
        <v>1.7592592592592594E-2</v>
      </c>
      <c r="R2" t="s">
        <v>4</v>
      </c>
      <c r="T2" t="s">
        <v>60</v>
      </c>
    </row>
    <row r="3" spans="1:20" x14ac:dyDescent="0.3">
      <c r="A3" s="2">
        <v>1700</v>
      </c>
      <c r="B3" s="7" t="s">
        <v>6</v>
      </c>
      <c r="C3" s="3">
        <v>1.8981481481481482E-3</v>
      </c>
      <c r="D3" s="3">
        <v>1.7824074074074075E-3</v>
      </c>
      <c r="E3" s="3">
        <v>2.476851851851852E-3</v>
      </c>
      <c r="F3" s="3">
        <v>3.1712962962962962E-3</v>
      </c>
      <c r="G3" s="3">
        <v>1.136574074074074E-2</v>
      </c>
      <c r="H3" s="3">
        <v>1.136574074074074E-2</v>
      </c>
      <c r="I3" s="3">
        <v>1.136574074074074E-2</v>
      </c>
      <c r="J3" s="3">
        <v>3.7268518518518519E-3</v>
      </c>
      <c r="K3" s="3">
        <v>3.7268518518518519E-3</v>
      </c>
      <c r="L3" s="3">
        <v>6.1111111111111114E-3</v>
      </c>
      <c r="M3" s="3">
        <v>6.1111111111111114E-3</v>
      </c>
      <c r="N3" s="3">
        <v>6.1111111111111114E-3</v>
      </c>
      <c r="O3" s="3">
        <v>6.1111111111111114E-3</v>
      </c>
      <c r="P3" s="3">
        <v>6.1111111111111114E-3</v>
      </c>
      <c r="Q3" s="3">
        <v>1.5509259259259259E-3</v>
      </c>
      <c r="R3" t="s">
        <v>7</v>
      </c>
    </row>
    <row r="4" spans="1:20" x14ac:dyDescent="0.3">
      <c r="A4" s="2">
        <v>7000</v>
      </c>
      <c r="B4" s="7" t="s">
        <v>9</v>
      </c>
      <c r="C4" s="3">
        <v>1.0185185185185184E-3</v>
      </c>
      <c r="D4" s="3">
        <v>1.5972222222222223E-3</v>
      </c>
      <c r="E4" s="3">
        <v>2.2916666666666667E-3</v>
      </c>
      <c r="F4" s="3">
        <v>2.9861111111111113E-3</v>
      </c>
      <c r="G4" s="3">
        <v>4.5601851851851853E-3</v>
      </c>
      <c r="H4" s="3">
        <v>4.6064814814814814E-3</v>
      </c>
      <c r="I4" s="3">
        <v>5.0694444444444441E-3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1.3657407407407407E-3</v>
      </c>
      <c r="Q4" s="3">
        <v>1.3657407407407407E-3</v>
      </c>
      <c r="R4" t="s">
        <v>10</v>
      </c>
    </row>
    <row r="5" spans="1:20" x14ac:dyDescent="0.3">
      <c r="A5" s="2">
        <v>31200</v>
      </c>
      <c r="B5" s="7" t="s">
        <v>11</v>
      </c>
      <c r="C5" s="3">
        <v>5.5555555555555556E-4</v>
      </c>
      <c r="D5" s="3">
        <v>1.25E-3</v>
      </c>
      <c r="E5" s="3">
        <v>2.8703703703703703E-3</v>
      </c>
      <c r="F5" s="3">
        <v>2.8703703703703703E-3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t="s">
        <v>12</v>
      </c>
    </row>
    <row r="6" spans="1:20" x14ac:dyDescent="0.3">
      <c r="A6" s="2">
        <v>7900</v>
      </c>
      <c r="B6" s="7" t="s">
        <v>13</v>
      </c>
      <c r="C6" s="3">
        <v>0</v>
      </c>
      <c r="D6" s="3">
        <v>3.7037037037037035E-4</v>
      </c>
      <c r="E6" s="3">
        <v>1.0648148148148149E-3</v>
      </c>
      <c r="F6" s="3">
        <v>1.0648148148148149E-3</v>
      </c>
      <c r="G6" s="3">
        <v>2.4305555555555556E-3</v>
      </c>
      <c r="H6" s="3">
        <v>2.476851851851852E-3</v>
      </c>
      <c r="I6" s="3">
        <v>2.9398148148148148E-3</v>
      </c>
      <c r="J6" s="3">
        <v>2.476851851851852E-3</v>
      </c>
      <c r="K6" s="3">
        <v>3.1712962962962962E-3</v>
      </c>
      <c r="L6" s="3">
        <v>3.8657407407407408E-3</v>
      </c>
      <c r="M6" s="3">
        <v>4.5601851851851853E-3</v>
      </c>
      <c r="N6" s="3">
        <v>3.1018518518518517E-3</v>
      </c>
      <c r="O6" s="3">
        <v>3.7037037037037038E-3</v>
      </c>
      <c r="P6" s="3">
        <v>0</v>
      </c>
      <c r="Q6" s="3">
        <v>0</v>
      </c>
      <c r="R6" t="s">
        <v>14</v>
      </c>
    </row>
    <row r="7" spans="1:20" x14ac:dyDescent="0.3">
      <c r="A7" s="2">
        <v>31300</v>
      </c>
      <c r="B7" s="7" t="s">
        <v>3</v>
      </c>
      <c r="C7" s="3">
        <v>0</v>
      </c>
      <c r="D7" s="3">
        <v>0</v>
      </c>
      <c r="E7" s="3">
        <v>0</v>
      </c>
      <c r="F7" s="3">
        <v>0</v>
      </c>
      <c r="G7" s="3">
        <v>1.0416666666666667E-3</v>
      </c>
      <c r="H7" s="3">
        <v>1.0185185185185184E-3</v>
      </c>
      <c r="I7" s="3">
        <v>1.4120370370370369E-3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t="s">
        <v>15</v>
      </c>
    </row>
    <row r="8" spans="1:20" x14ac:dyDescent="0.3">
      <c r="A8" s="2">
        <v>3600</v>
      </c>
      <c r="B8" s="7" t="s">
        <v>16</v>
      </c>
      <c r="C8" s="3">
        <v>4.0740740740740737E-3</v>
      </c>
      <c r="D8" s="3">
        <v>4.2592592592592595E-3</v>
      </c>
      <c r="E8" s="3">
        <v>4.8842592592592592E-3</v>
      </c>
      <c r="F8" s="3">
        <v>5.5787037037037038E-3</v>
      </c>
      <c r="G8" s="3">
        <v>9.4907407407407408E-4</v>
      </c>
      <c r="H8" s="3">
        <v>9.4907407407407408E-4</v>
      </c>
      <c r="I8" s="3">
        <v>9.4907407407407408E-4</v>
      </c>
      <c r="J8" s="3">
        <v>9.4907407407407408E-4</v>
      </c>
      <c r="K8" s="3">
        <v>9.4907407407407408E-4</v>
      </c>
      <c r="L8" s="3">
        <v>9.4907407407407408E-4</v>
      </c>
      <c r="M8" s="3">
        <v>9.4907407407407408E-4</v>
      </c>
      <c r="N8" s="3">
        <v>9.4907407407407408E-4</v>
      </c>
      <c r="O8" s="3">
        <v>9.4907407407407408E-4</v>
      </c>
      <c r="P8" s="3">
        <v>9.4907407407407408E-4</v>
      </c>
      <c r="Q8" s="3">
        <v>9.4907407407407408E-4</v>
      </c>
      <c r="R8" t="s">
        <v>17</v>
      </c>
    </row>
    <row r="9" spans="1:20" x14ac:dyDescent="0.3">
      <c r="A9" s="2">
        <v>20350</v>
      </c>
      <c r="B9" s="7" t="s">
        <v>18</v>
      </c>
      <c r="C9" s="25">
        <v>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6.9444444444444447E-4</v>
      </c>
      <c r="P9" s="25">
        <v>0</v>
      </c>
      <c r="Q9" s="25">
        <v>0</v>
      </c>
      <c r="R9" t="s">
        <v>19</v>
      </c>
    </row>
    <row r="10" spans="1:20" x14ac:dyDescent="0.3">
      <c r="A10" s="4">
        <v>31200</v>
      </c>
      <c r="B10" s="8" t="s">
        <v>18</v>
      </c>
      <c r="C10" s="5">
        <v>2.1990740740740742E-3</v>
      </c>
      <c r="D10" s="5">
        <v>2.8935185185185184E-3</v>
      </c>
      <c r="E10" s="3">
        <v>3.5879629629629629E-3</v>
      </c>
      <c r="F10" s="5">
        <v>4.2824074074074075E-3</v>
      </c>
      <c r="G10" s="5">
        <v>1.1574074074074075E-4</v>
      </c>
      <c r="H10" s="5">
        <v>1.1574074074074075E-4</v>
      </c>
      <c r="I10" s="5">
        <v>1.1574074074074075E-4</v>
      </c>
      <c r="J10" s="5">
        <v>1.1574074074074075E-4</v>
      </c>
      <c r="K10" s="5">
        <v>1.1574074074074075E-4</v>
      </c>
      <c r="L10" s="5">
        <v>1.1574074074074075E-4</v>
      </c>
      <c r="M10" s="5">
        <v>1.1574074074074075E-4</v>
      </c>
      <c r="N10" s="5">
        <v>1.1574074074074075E-4</v>
      </c>
      <c r="O10" s="5">
        <v>1.1574074074074075E-4</v>
      </c>
      <c r="P10" s="5">
        <v>1.1574074074074075E-4</v>
      </c>
      <c r="Q10" s="5">
        <v>1.1574074074074075E-4</v>
      </c>
    </row>
    <row r="11" spans="1:20" x14ac:dyDescent="0.3">
      <c r="A11" s="2">
        <v>31200</v>
      </c>
      <c r="B11" s="7" t="s">
        <v>24</v>
      </c>
      <c r="C11" s="3">
        <v>1.6203703703703703E-4</v>
      </c>
      <c r="D11" s="3">
        <v>2.7777777777777778E-4</v>
      </c>
      <c r="E11" s="3">
        <v>1.8749999999999999E-3</v>
      </c>
      <c r="F11" s="3">
        <v>1.8749999999999999E-3</v>
      </c>
      <c r="G11" s="3">
        <v>1.6203703703703703E-4</v>
      </c>
      <c r="H11" s="3">
        <v>1.6203703703703703E-4</v>
      </c>
      <c r="I11" s="3">
        <v>1.6203703703703703E-4</v>
      </c>
      <c r="J11" s="3">
        <v>1.6203703703703703E-4</v>
      </c>
      <c r="K11" s="3">
        <v>1.6203703703703703E-4</v>
      </c>
      <c r="L11" s="3">
        <v>1.6203703703703703E-4</v>
      </c>
      <c r="M11" s="3">
        <v>1.6203703703703703E-4</v>
      </c>
      <c r="N11" s="3">
        <v>1.6203703703703703E-4</v>
      </c>
      <c r="O11" s="3">
        <v>1.6203703703703703E-4</v>
      </c>
      <c r="P11" s="3">
        <v>1.6203703703703703E-4</v>
      </c>
      <c r="Q11" s="3">
        <v>1.6203703703703703E-4</v>
      </c>
    </row>
    <row r="12" spans="1:20" x14ac:dyDescent="0.3">
      <c r="A12" s="2">
        <v>7900</v>
      </c>
      <c r="B12" s="7" t="s">
        <v>16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6.9444444444444444E-5</v>
      </c>
      <c r="M12" s="3">
        <v>7.6388888888888893E-4</v>
      </c>
      <c r="N12" s="3">
        <v>0</v>
      </c>
      <c r="O12" s="3">
        <v>0</v>
      </c>
      <c r="P12" s="3">
        <v>0</v>
      </c>
      <c r="Q12" s="3">
        <v>0</v>
      </c>
    </row>
    <row r="13" spans="1:20" x14ac:dyDescent="0.3">
      <c r="A13" s="9" t="s">
        <v>25</v>
      </c>
      <c r="B13" s="9"/>
      <c r="C13" s="10">
        <f t="shared" ref="C13:Q13" si="0">SUM(C3:C8)</f>
        <v>7.5462962962962957E-3</v>
      </c>
      <c r="D13" s="10">
        <f t="shared" si="0"/>
        <v>9.2592592592592605E-3</v>
      </c>
      <c r="E13" s="10">
        <f t="shared" si="0"/>
        <v>1.3587962962962965E-2</v>
      </c>
      <c r="F13" s="10">
        <f t="shared" si="0"/>
        <v>1.5671296296296294E-2</v>
      </c>
      <c r="G13" s="10">
        <f t="shared" si="0"/>
        <v>2.0347222222222221E-2</v>
      </c>
      <c r="H13" s="10">
        <f t="shared" si="0"/>
        <v>2.0416666666666666E-2</v>
      </c>
      <c r="I13" s="10">
        <f t="shared" si="0"/>
        <v>2.1736111111111112E-2</v>
      </c>
      <c r="J13" s="10">
        <f t="shared" si="0"/>
        <v>7.1527777777777787E-3</v>
      </c>
      <c r="K13" s="10">
        <f t="shared" si="0"/>
        <v>7.8472222222222224E-3</v>
      </c>
      <c r="L13" s="10">
        <f t="shared" si="0"/>
        <v>1.0925925925925926E-2</v>
      </c>
      <c r="M13" s="10">
        <f t="shared" si="0"/>
        <v>1.1620370370370371E-2</v>
      </c>
      <c r="N13" s="10">
        <f t="shared" si="0"/>
        <v>1.0162037037037037E-2</v>
      </c>
      <c r="O13" s="10">
        <f t="shared" si="0"/>
        <v>1.0763888888888889E-2</v>
      </c>
      <c r="P13" s="10">
        <f t="shared" si="0"/>
        <v>8.425925925925927E-3</v>
      </c>
      <c r="Q13" s="10">
        <f t="shared" si="0"/>
        <v>3.8657407407407403E-3</v>
      </c>
    </row>
    <row r="15" spans="1:20" x14ac:dyDescent="0.3">
      <c r="A15" s="2" t="s">
        <v>2</v>
      </c>
      <c r="B15" s="2" t="s">
        <v>3</v>
      </c>
      <c r="C15" t="b">
        <f t="shared" ref="C15:D15" si="1">C2&lt;6/1440</f>
        <v>1</v>
      </c>
      <c r="D15" t="b">
        <f t="shared" si="1"/>
        <v>1</v>
      </c>
      <c r="E15" t="b">
        <f>E2&lt;6/1440</f>
        <v>1</v>
      </c>
      <c r="F15" t="b">
        <f t="shared" ref="F15:Q15" si="2">F2&lt;6/1440</f>
        <v>1</v>
      </c>
      <c r="G15" t="b">
        <f t="shared" si="2"/>
        <v>1</v>
      </c>
      <c r="H15" t="b">
        <f t="shared" si="2"/>
        <v>1</v>
      </c>
      <c r="I15" t="b">
        <f t="shared" si="2"/>
        <v>1</v>
      </c>
      <c r="J15" t="b">
        <f t="shared" si="2"/>
        <v>0</v>
      </c>
      <c r="K15" t="b">
        <f t="shared" si="2"/>
        <v>0</v>
      </c>
      <c r="L15" t="b">
        <f t="shared" si="2"/>
        <v>0</v>
      </c>
      <c r="M15" t="b">
        <f t="shared" si="2"/>
        <v>0</v>
      </c>
      <c r="N15" t="b">
        <f t="shared" si="2"/>
        <v>0</v>
      </c>
      <c r="O15" t="b">
        <f t="shared" si="2"/>
        <v>0</v>
      </c>
      <c r="P15" t="b">
        <f t="shared" si="2"/>
        <v>0</v>
      </c>
      <c r="Q15" t="b">
        <f t="shared" si="2"/>
        <v>0</v>
      </c>
    </row>
    <row r="16" spans="1:20" x14ac:dyDescent="0.3">
      <c r="A16" s="2">
        <v>1700</v>
      </c>
      <c r="B16" s="2" t="s">
        <v>6</v>
      </c>
      <c r="C16" t="b">
        <f t="shared" ref="C16:E21" si="3">C3&lt;3/1440</f>
        <v>1</v>
      </c>
      <c r="D16" t="b">
        <f t="shared" si="3"/>
        <v>1</v>
      </c>
      <c r="E16" t="b">
        <f t="shared" si="3"/>
        <v>0</v>
      </c>
      <c r="F16" t="b">
        <f t="shared" ref="F16:Q21" si="4">F3&lt;3/1440</f>
        <v>0</v>
      </c>
      <c r="G16" t="b">
        <f t="shared" si="4"/>
        <v>0</v>
      </c>
      <c r="H16" t="b">
        <f t="shared" si="4"/>
        <v>0</v>
      </c>
      <c r="I16" t="b">
        <f t="shared" si="4"/>
        <v>0</v>
      </c>
      <c r="J16" t="b">
        <f t="shared" si="4"/>
        <v>0</v>
      </c>
      <c r="K16" t="b">
        <f t="shared" si="4"/>
        <v>0</v>
      </c>
      <c r="L16" t="b">
        <f t="shared" si="4"/>
        <v>0</v>
      </c>
      <c r="M16" t="b">
        <f t="shared" si="4"/>
        <v>0</v>
      </c>
      <c r="N16" t="b">
        <f t="shared" si="4"/>
        <v>0</v>
      </c>
      <c r="O16" t="b">
        <f t="shared" si="4"/>
        <v>0</v>
      </c>
      <c r="P16" t="b">
        <f t="shared" si="4"/>
        <v>0</v>
      </c>
      <c r="Q16" t="b">
        <f t="shared" si="4"/>
        <v>1</v>
      </c>
    </row>
    <row r="17" spans="1:18" x14ac:dyDescent="0.3">
      <c r="A17" s="2">
        <v>7000</v>
      </c>
      <c r="B17" s="2" t="s">
        <v>9</v>
      </c>
      <c r="C17" t="b">
        <f t="shared" si="3"/>
        <v>1</v>
      </c>
      <c r="D17" t="b">
        <f t="shared" si="3"/>
        <v>1</v>
      </c>
      <c r="E17" t="b">
        <f t="shared" si="3"/>
        <v>0</v>
      </c>
      <c r="F17" t="b">
        <f t="shared" si="4"/>
        <v>0</v>
      </c>
      <c r="G17" t="b">
        <f t="shared" si="4"/>
        <v>0</v>
      </c>
      <c r="H17" t="b">
        <f t="shared" si="4"/>
        <v>0</v>
      </c>
      <c r="I17" t="b">
        <f t="shared" si="4"/>
        <v>0</v>
      </c>
      <c r="J17" t="b">
        <f t="shared" si="4"/>
        <v>1</v>
      </c>
      <c r="K17" t="b">
        <f t="shared" si="4"/>
        <v>1</v>
      </c>
      <c r="L17" t="b">
        <f t="shared" si="4"/>
        <v>1</v>
      </c>
      <c r="M17" t="b">
        <f t="shared" si="4"/>
        <v>1</v>
      </c>
      <c r="N17" t="b">
        <f t="shared" si="4"/>
        <v>1</v>
      </c>
      <c r="O17" t="b">
        <f t="shared" si="4"/>
        <v>1</v>
      </c>
      <c r="P17" t="b">
        <f t="shared" si="4"/>
        <v>1</v>
      </c>
      <c r="Q17" t="b">
        <f t="shared" si="4"/>
        <v>1</v>
      </c>
    </row>
    <row r="18" spans="1:18" x14ac:dyDescent="0.3">
      <c r="A18" s="2">
        <v>31200</v>
      </c>
      <c r="B18" s="2" t="s">
        <v>11</v>
      </c>
      <c r="C18" t="b">
        <f t="shared" si="3"/>
        <v>1</v>
      </c>
      <c r="D18" t="b">
        <f t="shared" si="3"/>
        <v>1</v>
      </c>
      <c r="E18" t="b">
        <f t="shared" si="3"/>
        <v>0</v>
      </c>
      <c r="F18" t="b">
        <f t="shared" si="4"/>
        <v>0</v>
      </c>
      <c r="G18" t="b">
        <f t="shared" si="4"/>
        <v>1</v>
      </c>
      <c r="H18" t="b">
        <f t="shared" si="4"/>
        <v>1</v>
      </c>
      <c r="I18" t="b">
        <f t="shared" si="4"/>
        <v>1</v>
      </c>
      <c r="J18" t="b">
        <f t="shared" si="4"/>
        <v>1</v>
      </c>
      <c r="K18" t="b">
        <f t="shared" si="4"/>
        <v>1</v>
      </c>
      <c r="L18" t="b">
        <f t="shared" si="4"/>
        <v>1</v>
      </c>
      <c r="M18" t="b">
        <f t="shared" si="4"/>
        <v>1</v>
      </c>
      <c r="N18" t="b">
        <f t="shared" si="4"/>
        <v>1</v>
      </c>
      <c r="O18" t="b">
        <f t="shared" si="4"/>
        <v>1</v>
      </c>
      <c r="P18" t="b">
        <f t="shared" si="4"/>
        <v>1</v>
      </c>
      <c r="Q18" t="b">
        <f t="shared" si="4"/>
        <v>1</v>
      </c>
    </row>
    <row r="19" spans="1:18" x14ac:dyDescent="0.3">
      <c r="A19" s="2">
        <v>7900</v>
      </c>
      <c r="B19" s="2" t="s">
        <v>13</v>
      </c>
      <c r="C19" t="b">
        <f t="shared" si="3"/>
        <v>1</v>
      </c>
      <c r="D19" t="b">
        <f t="shared" si="3"/>
        <v>1</v>
      </c>
      <c r="E19" t="b">
        <f t="shared" si="3"/>
        <v>1</v>
      </c>
      <c r="F19" t="b">
        <f t="shared" si="4"/>
        <v>1</v>
      </c>
      <c r="G19" t="b">
        <f t="shared" si="4"/>
        <v>0</v>
      </c>
      <c r="H19" t="b">
        <f t="shared" si="4"/>
        <v>0</v>
      </c>
      <c r="I19" t="b">
        <f t="shared" si="4"/>
        <v>0</v>
      </c>
      <c r="J19" t="b">
        <f t="shared" si="4"/>
        <v>0</v>
      </c>
      <c r="K19" t="b">
        <f t="shared" si="4"/>
        <v>0</v>
      </c>
      <c r="L19" t="b">
        <f t="shared" si="4"/>
        <v>0</v>
      </c>
      <c r="M19" t="b">
        <f t="shared" si="4"/>
        <v>0</v>
      </c>
      <c r="N19" t="b">
        <f t="shared" si="4"/>
        <v>0</v>
      </c>
      <c r="O19" t="b">
        <f t="shared" si="4"/>
        <v>0</v>
      </c>
      <c r="P19" t="b">
        <f t="shared" si="4"/>
        <v>1</v>
      </c>
      <c r="Q19" t="b">
        <f t="shared" si="4"/>
        <v>1</v>
      </c>
    </row>
    <row r="20" spans="1:18" x14ac:dyDescent="0.3">
      <c r="A20" s="2">
        <v>31300</v>
      </c>
      <c r="B20" s="2" t="s">
        <v>3</v>
      </c>
      <c r="C20" t="b">
        <f t="shared" si="3"/>
        <v>1</v>
      </c>
      <c r="D20" t="b">
        <f t="shared" si="3"/>
        <v>1</v>
      </c>
      <c r="E20" t="b">
        <f t="shared" si="3"/>
        <v>1</v>
      </c>
      <c r="F20" t="b">
        <f t="shared" si="4"/>
        <v>1</v>
      </c>
      <c r="G20" t="b">
        <f t="shared" si="4"/>
        <v>1</v>
      </c>
      <c r="H20" t="b">
        <f t="shared" si="4"/>
        <v>1</v>
      </c>
      <c r="I20" t="b">
        <f t="shared" si="4"/>
        <v>1</v>
      </c>
      <c r="J20" t="b">
        <f t="shared" si="4"/>
        <v>1</v>
      </c>
      <c r="K20" t="b">
        <f t="shared" si="4"/>
        <v>1</v>
      </c>
      <c r="L20" t="b">
        <f t="shared" si="4"/>
        <v>1</v>
      </c>
      <c r="M20" t="b">
        <f t="shared" si="4"/>
        <v>1</v>
      </c>
      <c r="N20" t="b">
        <f t="shared" si="4"/>
        <v>1</v>
      </c>
      <c r="O20" t="b">
        <f t="shared" si="4"/>
        <v>1</v>
      </c>
      <c r="P20" t="b">
        <f t="shared" si="4"/>
        <v>1</v>
      </c>
      <c r="Q20" t="b">
        <f t="shared" si="4"/>
        <v>1</v>
      </c>
    </row>
    <row r="21" spans="1:18" x14ac:dyDescent="0.3">
      <c r="A21" s="2">
        <v>3600</v>
      </c>
      <c r="B21" s="2" t="s">
        <v>16</v>
      </c>
      <c r="C21" t="b">
        <f t="shared" si="3"/>
        <v>0</v>
      </c>
      <c r="D21" t="b">
        <f t="shared" si="3"/>
        <v>0</v>
      </c>
      <c r="E21" t="b">
        <f t="shared" si="3"/>
        <v>0</v>
      </c>
      <c r="F21" t="b">
        <f t="shared" si="4"/>
        <v>0</v>
      </c>
      <c r="G21" t="b">
        <f t="shared" si="4"/>
        <v>1</v>
      </c>
      <c r="H21" t="b">
        <f t="shared" si="4"/>
        <v>1</v>
      </c>
      <c r="I21" t="b">
        <f t="shared" si="4"/>
        <v>1</v>
      </c>
      <c r="J21" t="b">
        <f t="shared" si="4"/>
        <v>1</v>
      </c>
      <c r="K21" t="b">
        <f t="shared" si="4"/>
        <v>1</v>
      </c>
      <c r="L21" t="b">
        <f t="shared" si="4"/>
        <v>1</v>
      </c>
      <c r="M21" t="b">
        <f t="shared" si="4"/>
        <v>1</v>
      </c>
      <c r="N21" t="b">
        <f t="shared" si="4"/>
        <v>1</v>
      </c>
      <c r="O21" t="b">
        <f t="shared" si="4"/>
        <v>1</v>
      </c>
      <c r="P21" t="b">
        <f t="shared" si="4"/>
        <v>1</v>
      </c>
      <c r="Q21" t="b">
        <f t="shared" si="4"/>
        <v>1</v>
      </c>
    </row>
    <row r="22" spans="1:18" x14ac:dyDescent="0.3">
      <c r="A22" s="2">
        <v>20350</v>
      </c>
      <c r="B22" s="2" t="s">
        <v>18</v>
      </c>
      <c r="C22" t="b">
        <f t="shared" ref="C22:Q23" si="5">C9&lt;3/1440</f>
        <v>1</v>
      </c>
      <c r="D22" t="b">
        <f t="shared" si="5"/>
        <v>1</v>
      </c>
      <c r="E22" t="b">
        <f t="shared" si="5"/>
        <v>1</v>
      </c>
      <c r="F22" t="b">
        <f t="shared" si="5"/>
        <v>1</v>
      </c>
      <c r="G22" t="b">
        <f t="shared" si="5"/>
        <v>1</v>
      </c>
      <c r="H22" t="b">
        <f t="shared" si="5"/>
        <v>1</v>
      </c>
      <c r="I22" t="b">
        <f t="shared" si="5"/>
        <v>1</v>
      </c>
      <c r="J22" t="b">
        <f t="shared" si="5"/>
        <v>1</v>
      </c>
      <c r="K22" t="b">
        <f t="shared" si="5"/>
        <v>1</v>
      </c>
      <c r="L22" t="b">
        <f t="shared" si="5"/>
        <v>1</v>
      </c>
      <c r="M22" t="b">
        <f t="shared" si="5"/>
        <v>1</v>
      </c>
      <c r="N22" t="b">
        <f t="shared" si="5"/>
        <v>1</v>
      </c>
      <c r="O22" t="b">
        <f t="shared" si="5"/>
        <v>1</v>
      </c>
      <c r="P22" t="b">
        <f t="shared" si="5"/>
        <v>1</v>
      </c>
      <c r="Q22" t="b">
        <f t="shared" si="5"/>
        <v>1</v>
      </c>
    </row>
    <row r="23" spans="1:18" x14ac:dyDescent="0.3">
      <c r="A23" s="2">
        <v>31200</v>
      </c>
      <c r="B23" s="2" t="s">
        <v>18</v>
      </c>
      <c r="C23" t="b">
        <f t="shared" si="5"/>
        <v>0</v>
      </c>
      <c r="D23" t="b">
        <f t="shared" si="5"/>
        <v>0</v>
      </c>
      <c r="E23" t="b">
        <f t="shared" si="5"/>
        <v>0</v>
      </c>
      <c r="F23" t="b">
        <f t="shared" si="5"/>
        <v>0</v>
      </c>
      <c r="G23" t="b">
        <f t="shared" si="5"/>
        <v>1</v>
      </c>
      <c r="H23" t="b">
        <f t="shared" si="5"/>
        <v>1</v>
      </c>
      <c r="I23" t="b">
        <f t="shared" si="5"/>
        <v>1</v>
      </c>
      <c r="J23" t="b">
        <f t="shared" si="5"/>
        <v>1</v>
      </c>
      <c r="K23" t="b">
        <f t="shared" si="5"/>
        <v>1</v>
      </c>
      <c r="L23" t="b">
        <f t="shared" si="5"/>
        <v>1</v>
      </c>
      <c r="M23" t="b">
        <f t="shared" si="5"/>
        <v>1</v>
      </c>
      <c r="N23" t="b">
        <f t="shared" si="5"/>
        <v>1</v>
      </c>
      <c r="O23" t="b">
        <f t="shared" si="5"/>
        <v>1</v>
      </c>
      <c r="P23" t="b">
        <f t="shared" si="5"/>
        <v>1</v>
      </c>
      <c r="Q23" t="b">
        <f t="shared" si="5"/>
        <v>1</v>
      </c>
    </row>
    <row r="24" spans="1:18" x14ac:dyDescent="0.3">
      <c r="A24" s="2">
        <v>31200</v>
      </c>
      <c r="B24" s="2" t="s">
        <v>24</v>
      </c>
      <c r="C24" t="b">
        <f t="shared" ref="C24:Q24" si="6">C10&lt;3/1440</f>
        <v>0</v>
      </c>
      <c r="D24" t="b">
        <f t="shared" si="6"/>
        <v>0</v>
      </c>
      <c r="E24" t="b">
        <f t="shared" si="6"/>
        <v>0</v>
      </c>
      <c r="F24" t="b">
        <f t="shared" si="6"/>
        <v>0</v>
      </c>
      <c r="G24" t="b">
        <f t="shared" si="6"/>
        <v>1</v>
      </c>
      <c r="H24" t="b">
        <f t="shared" si="6"/>
        <v>1</v>
      </c>
      <c r="I24" t="b">
        <f t="shared" si="6"/>
        <v>1</v>
      </c>
      <c r="J24" t="b">
        <f t="shared" si="6"/>
        <v>1</v>
      </c>
      <c r="K24" t="b">
        <f t="shared" si="6"/>
        <v>1</v>
      </c>
      <c r="L24" t="b">
        <f t="shared" si="6"/>
        <v>1</v>
      </c>
      <c r="M24" t="b">
        <f t="shared" si="6"/>
        <v>1</v>
      </c>
      <c r="N24" t="b">
        <f t="shared" si="6"/>
        <v>1</v>
      </c>
      <c r="O24" t="b">
        <f t="shared" si="6"/>
        <v>1</v>
      </c>
      <c r="P24" t="b">
        <f t="shared" si="6"/>
        <v>1</v>
      </c>
      <c r="Q24" t="b">
        <f t="shared" si="6"/>
        <v>1</v>
      </c>
    </row>
    <row r="25" spans="1:18" x14ac:dyDescent="0.3">
      <c r="A25" s="2">
        <v>7900</v>
      </c>
      <c r="B25" s="2" t="s">
        <v>16</v>
      </c>
      <c r="C25" t="b">
        <f t="shared" ref="C25:Q25" si="7">C12&lt;3/1440</f>
        <v>1</v>
      </c>
      <c r="D25" t="b">
        <f t="shared" si="7"/>
        <v>1</v>
      </c>
      <c r="E25" t="b">
        <f t="shared" si="7"/>
        <v>1</v>
      </c>
      <c r="F25" t="b">
        <f t="shared" si="7"/>
        <v>1</v>
      </c>
      <c r="G25" t="b">
        <f t="shared" si="7"/>
        <v>1</v>
      </c>
      <c r="H25" t="b">
        <f t="shared" si="7"/>
        <v>1</v>
      </c>
      <c r="I25" t="b">
        <f t="shared" si="7"/>
        <v>1</v>
      </c>
      <c r="J25" t="b">
        <f t="shared" si="7"/>
        <v>1</v>
      </c>
      <c r="K25" t="b">
        <f t="shared" si="7"/>
        <v>1</v>
      </c>
      <c r="L25" t="b">
        <f t="shared" si="7"/>
        <v>1</v>
      </c>
      <c r="M25" t="b">
        <f t="shared" si="7"/>
        <v>1</v>
      </c>
      <c r="N25" t="b">
        <f t="shared" si="7"/>
        <v>1</v>
      </c>
      <c r="O25" t="b">
        <f t="shared" si="7"/>
        <v>1</v>
      </c>
      <c r="P25" t="b">
        <f t="shared" si="7"/>
        <v>1</v>
      </c>
      <c r="Q25" t="b">
        <f t="shared" si="7"/>
        <v>1</v>
      </c>
    </row>
    <row r="26" spans="1:18" x14ac:dyDescent="0.3">
      <c r="A26" t="s">
        <v>31</v>
      </c>
      <c r="C26" s="12">
        <f>COUNTIF(C16:C21,TRUE) / 6</f>
        <v>0.83333333333333337</v>
      </c>
      <c r="D26" s="12">
        <f t="shared" ref="D26:Q26" si="8">COUNTIF(D16:D21,TRUE) / 6</f>
        <v>0.83333333333333337</v>
      </c>
      <c r="E26" s="12">
        <f t="shared" si="8"/>
        <v>0.33333333333333331</v>
      </c>
      <c r="F26" s="12">
        <f t="shared" si="8"/>
        <v>0.33333333333333331</v>
      </c>
      <c r="G26" s="12">
        <f t="shared" si="8"/>
        <v>0.5</v>
      </c>
      <c r="H26" s="12">
        <f t="shared" si="8"/>
        <v>0.5</v>
      </c>
      <c r="I26" s="12">
        <f t="shared" si="8"/>
        <v>0.5</v>
      </c>
      <c r="J26" s="12">
        <f t="shared" si="8"/>
        <v>0.66666666666666663</v>
      </c>
      <c r="K26" s="12">
        <f t="shared" si="8"/>
        <v>0.66666666666666663</v>
      </c>
      <c r="L26" s="12">
        <f t="shared" si="8"/>
        <v>0.66666666666666663</v>
      </c>
      <c r="M26" s="12">
        <f t="shared" si="8"/>
        <v>0.66666666666666663</v>
      </c>
      <c r="N26" s="12">
        <f t="shared" si="8"/>
        <v>0.66666666666666663</v>
      </c>
      <c r="O26" s="12">
        <f t="shared" si="8"/>
        <v>0.66666666666666663</v>
      </c>
      <c r="P26" s="12">
        <f t="shared" si="8"/>
        <v>0.83333333333333337</v>
      </c>
      <c r="Q26" s="12">
        <f t="shared" si="8"/>
        <v>1</v>
      </c>
    </row>
    <row r="28" spans="1:18" x14ac:dyDescent="0.3">
      <c r="A28" t="s">
        <v>33</v>
      </c>
      <c r="C28" s="3">
        <f t="shared" ref="C28:Q28" si="9">C2-C1</f>
        <v>-2.0833333333333333E-3</v>
      </c>
      <c r="D28" s="3">
        <f t="shared" si="9"/>
        <v>-2.7777777777777779E-3</v>
      </c>
      <c r="E28" s="3">
        <f t="shared" si="9"/>
        <v>-3.472222222222222E-3</v>
      </c>
      <c r="F28" s="3">
        <f t="shared" si="9"/>
        <v>-3.7962962962962963E-3</v>
      </c>
      <c r="G28" s="3">
        <f t="shared" si="9"/>
        <v>-2.777777777777777E-3</v>
      </c>
      <c r="H28" s="3">
        <f t="shared" si="9"/>
        <v>-3.4953703703703644E-3</v>
      </c>
      <c r="I28" s="3">
        <f t="shared" si="9"/>
        <v>-3.7962962962962967E-3</v>
      </c>
      <c r="J28" s="3">
        <f t="shared" si="9"/>
        <v>2.7546296296296338E-3</v>
      </c>
      <c r="K28" s="3">
        <f t="shared" si="9"/>
        <v>2.0601851851851831E-3</v>
      </c>
      <c r="L28" s="3">
        <f t="shared" si="9"/>
        <v>1.3657407407407438E-3</v>
      </c>
      <c r="M28" s="3">
        <f t="shared" si="9"/>
        <v>6.712962962962931E-4</v>
      </c>
      <c r="N28" s="3">
        <f t="shared" si="9"/>
        <v>-2.3148148148147141E-5</v>
      </c>
      <c r="O28" s="3">
        <f t="shared" si="9"/>
        <v>-7.1759259259262728E-4</v>
      </c>
      <c r="P28" s="3">
        <f t="shared" si="9"/>
        <v>-2.5694444444444436E-3</v>
      </c>
      <c r="Q28" s="3">
        <f t="shared" si="9"/>
        <v>2.3148148148148182E-4</v>
      </c>
      <c r="R28" t="s">
        <v>61</v>
      </c>
    </row>
    <row r="29" spans="1:18" x14ac:dyDescent="0.3">
      <c r="A29" t="s">
        <v>33</v>
      </c>
      <c r="C29" s="3">
        <f t="shared" ref="C29:Q29" si="10">C1-C2</f>
        <v>2.0833333333333333E-3</v>
      </c>
      <c r="D29" s="3">
        <f t="shared" si="10"/>
        <v>2.7777777777777779E-3</v>
      </c>
      <c r="E29" s="3">
        <f t="shared" si="10"/>
        <v>3.472222222222222E-3</v>
      </c>
      <c r="F29" s="3">
        <f t="shared" si="10"/>
        <v>3.7962962962962963E-3</v>
      </c>
      <c r="G29" s="3">
        <f t="shared" si="10"/>
        <v>2.777777777777777E-3</v>
      </c>
      <c r="H29" s="3">
        <f t="shared" si="10"/>
        <v>3.4953703703703644E-3</v>
      </c>
      <c r="I29" s="3">
        <f t="shared" si="10"/>
        <v>3.7962962962962967E-3</v>
      </c>
      <c r="J29" s="3">
        <f t="shared" si="10"/>
        <v>-2.7546296296296338E-3</v>
      </c>
      <c r="K29" s="3">
        <f t="shared" si="10"/>
        <v>-2.0601851851851831E-3</v>
      </c>
      <c r="L29" s="3">
        <f t="shared" si="10"/>
        <v>-1.3657407407407438E-3</v>
      </c>
      <c r="M29" s="3">
        <f t="shared" si="10"/>
        <v>-6.712962962962931E-4</v>
      </c>
      <c r="N29" s="3">
        <f t="shared" si="10"/>
        <v>2.3148148148147141E-5</v>
      </c>
      <c r="O29" s="3">
        <f t="shared" si="10"/>
        <v>7.1759259259262728E-4</v>
      </c>
      <c r="P29" s="3">
        <f t="shared" si="10"/>
        <v>2.5694444444444436E-3</v>
      </c>
      <c r="Q29" s="3">
        <f t="shared" si="10"/>
        <v>-2.3148148148148182E-4</v>
      </c>
      <c r="R29" t="s">
        <v>62</v>
      </c>
    </row>
    <row r="31" spans="1:18" x14ac:dyDescent="0.3">
      <c r="A31" t="s">
        <v>38</v>
      </c>
      <c r="C31" s="12">
        <f>(C20+C21+C23+C24+C25)/5</f>
        <v>0.4</v>
      </c>
      <c r="D31" s="12">
        <f t="shared" ref="D31:Q31" si="11">(D20+D21+D23+D24+D25)/5</f>
        <v>0.4</v>
      </c>
      <c r="E31" s="12">
        <f t="shared" si="11"/>
        <v>0.4</v>
      </c>
      <c r="F31" s="12">
        <f t="shared" si="11"/>
        <v>0.4</v>
      </c>
      <c r="G31" s="12">
        <f t="shared" si="11"/>
        <v>1</v>
      </c>
      <c r="H31" s="12">
        <f t="shared" si="11"/>
        <v>1</v>
      </c>
      <c r="I31" s="12">
        <f t="shared" si="11"/>
        <v>1</v>
      </c>
      <c r="J31" s="12">
        <f t="shared" si="11"/>
        <v>1</v>
      </c>
      <c r="K31" s="12">
        <f t="shared" si="11"/>
        <v>1</v>
      </c>
      <c r="L31" s="12">
        <f t="shared" si="11"/>
        <v>1</v>
      </c>
      <c r="M31" s="12">
        <f t="shared" si="11"/>
        <v>1</v>
      </c>
      <c r="N31" s="12">
        <f t="shared" si="11"/>
        <v>1</v>
      </c>
      <c r="O31" s="12">
        <f t="shared" si="11"/>
        <v>1</v>
      </c>
      <c r="P31" s="12">
        <f t="shared" si="11"/>
        <v>1</v>
      </c>
      <c r="Q31" s="12">
        <f t="shared" si="11"/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368C-99E7-43BE-9A02-EA87E5A8A73F}">
  <dimension ref="A1:Q255"/>
  <sheetViews>
    <sheetView topLeftCell="A223" workbookViewId="0">
      <selection activeCell="M87" sqref="M87"/>
    </sheetView>
  </sheetViews>
  <sheetFormatPr defaultRowHeight="14.4" x14ac:dyDescent="0.3"/>
  <cols>
    <col min="1" max="1" width="22" customWidth="1"/>
    <col min="2" max="2" width="10.33203125" customWidth="1"/>
    <col min="3" max="3" width="15.109375" customWidth="1"/>
    <col min="4" max="5" width="12.6640625" customWidth="1"/>
    <col min="6" max="6" width="12" customWidth="1"/>
    <col min="7" max="7" width="21.44140625" customWidth="1"/>
    <col min="8" max="8" width="12.5546875" customWidth="1"/>
    <col min="9" max="9" width="16" customWidth="1"/>
    <col min="10" max="11" width="13.6640625" customWidth="1"/>
    <col min="12" max="12" width="12.109375" customWidth="1"/>
    <col min="13" max="13" width="20.5546875" customWidth="1"/>
    <col min="14" max="14" width="10.6640625" customWidth="1"/>
    <col min="15" max="15" width="14.44140625" customWidth="1"/>
    <col min="16" max="17" width="12.6640625" customWidth="1"/>
  </cols>
  <sheetData>
    <row r="1" spans="1:17" x14ac:dyDescent="0.3">
      <c r="A1" s="1" t="s">
        <v>66</v>
      </c>
      <c r="B1" s="14" t="s">
        <v>67</v>
      </c>
      <c r="C1" s="14" t="s">
        <v>68</v>
      </c>
      <c r="D1" s="14" t="s">
        <v>69</v>
      </c>
      <c r="E1" t="s">
        <v>70</v>
      </c>
      <c r="G1" s="1" t="s">
        <v>71</v>
      </c>
      <c r="H1" s="14" t="s">
        <v>67</v>
      </c>
      <c r="I1" s="14" t="s">
        <v>68</v>
      </c>
      <c r="J1" s="14" t="s">
        <v>69</v>
      </c>
      <c r="K1" t="s">
        <v>70</v>
      </c>
      <c r="M1" s="1" t="s">
        <v>72</v>
      </c>
      <c r="N1" s="14" t="s">
        <v>67</v>
      </c>
      <c r="O1" s="14" t="s">
        <v>68</v>
      </c>
      <c r="P1" s="14" t="s">
        <v>69</v>
      </c>
      <c r="Q1" t="s">
        <v>70</v>
      </c>
    </row>
    <row r="2" spans="1:17" x14ac:dyDescent="0.3">
      <c r="A2" t="s">
        <v>73</v>
      </c>
      <c r="B2" s="15">
        <f>'Cancel Stop Hgl-Odz-Hgl'!C$13</f>
        <v>9.3981481481481485E-3</v>
      </c>
      <c r="C2" s="12">
        <f>'Cancel Stop Hgl-Odz-Hgl'!C$26</f>
        <v>0.83333333333333337</v>
      </c>
      <c r="D2" s="11">
        <f>'Cancel Stop Hgl-Odz-Hgl'!C$28</f>
        <v>-2.0833333333333333E-3</v>
      </c>
      <c r="E2" s="12">
        <f>'Cancel Stop Hgl-Odz-Hgl'!C$31</f>
        <v>0.8</v>
      </c>
      <c r="F2" s="11"/>
      <c r="G2" t="s">
        <v>73</v>
      </c>
      <c r="H2" s="15">
        <f>'Cancel Stop Hgl-Odz-Hgl'!D$13</f>
        <v>9.3981481481481485E-3</v>
      </c>
      <c r="I2" s="12">
        <f>'Cancel Stop Hgl-Odz-Hgl'!D$26</f>
        <v>0.83333333333333337</v>
      </c>
      <c r="J2" s="11">
        <f>'Cancel Stop Hgl-Odz-Hgl'!D$28</f>
        <v>-2.7777777777777779E-3</v>
      </c>
      <c r="K2" s="12">
        <f>'Cancel Stop Hgl-Odz-Hgl'!D$31</f>
        <v>0.8</v>
      </c>
      <c r="M2" t="s">
        <v>73</v>
      </c>
      <c r="N2" s="15">
        <f>'Cancel Stop Hgl-Odz-Hgl'!E$13</f>
        <v>1.0995370370370371E-2</v>
      </c>
      <c r="O2" s="12">
        <f>'Cancel Stop Hgl-Odz-Hgl'!E$26</f>
        <v>0.5</v>
      </c>
      <c r="P2" s="11">
        <f>'Cancel Stop Hgl-Odz-Hgl'!E$28</f>
        <v>-3.472222222222222E-3</v>
      </c>
      <c r="Q2" s="12">
        <f>'Cancel Stop Hgl-Odz-Hgl'!E$31</f>
        <v>0.8</v>
      </c>
    </row>
    <row r="3" spans="1:17" x14ac:dyDescent="0.3">
      <c r="A3" s="13" t="s">
        <v>74</v>
      </c>
      <c r="B3" s="15">
        <f>'ICE Waits'!C$13</f>
        <v>1.1620370370370371E-2</v>
      </c>
      <c r="C3" s="12">
        <f>'ICE Waits'!C$26</f>
        <v>0.66666666666666663</v>
      </c>
      <c r="D3" s="16">
        <f>'ICE Waits'!C$28</f>
        <v>-2.0833333333333333E-3</v>
      </c>
      <c r="E3" s="12">
        <f>'ICE Waits'!C$31</f>
        <v>0.4</v>
      </c>
      <c r="G3" s="13" t="s">
        <v>74</v>
      </c>
      <c r="H3" s="15">
        <f>'ICE Waits'!D$13</f>
        <v>1.425925925925926E-2</v>
      </c>
      <c r="I3" s="12">
        <f>'ICE Waits'!D$26</f>
        <v>0.33333333333333331</v>
      </c>
      <c r="J3" s="16">
        <f>'ICE Waits'!D$28</f>
        <v>-2.7777777777777779E-3</v>
      </c>
      <c r="K3" s="12">
        <f>'ICE Waits'!D$31</f>
        <v>0.4</v>
      </c>
      <c r="M3" s="13" t="s">
        <v>74</v>
      </c>
      <c r="N3" s="15">
        <f>'ICE Waits'!E$13</f>
        <v>1.7083333333333332E-2</v>
      </c>
      <c r="O3" s="12">
        <f>'ICE Waits'!E$26</f>
        <v>0.33333333333333331</v>
      </c>
      <c r="P3" s="16">
        <f>'ICE Waits'!E$28</f>
        <v>-2.9861111111111108E-3</v>
      </c>
      <c r="Q3" s="12">
        <f>'ICE Waits'!E$31</f>
        <v>0.4</v>
      </c>
    </row>
    <row r="4" spans="1:17" x14ac:dyDescent="0.3">
      <c r="A4" t="s">
        <v>75</v>
      </c>
      <c r="B4" s="15">
        <f>'Stop Waits'!C$13</f>
        <v>4.4444444444444453E-3</v>
      </c>
      <c r="C4" s="12">
        <f>'Stop Waits'!C$26</f>
        <v>0.83333333333333337</v>
      </c>
      <c r="D4" s="3">
        <f>'Stop Waits'!C$28</f>
        <v>-2.0833333333333333E-3</v>
      </c>
      <c r="E4" s="12">
        <f>'Stop Waits'!C$31</f>
        <v>0.4</v>
      </c>
      <c r="G4" t="s">
        <v>75</v>
      </c>
      <c r="H4" s="15">
        <f>'Stop Waits'!D$13</f>
        <v>8.5648148148148168E-3</v>
      </c>
      <c r="I4" s="12">
        <f>'Stop Waits'!D$26</f>
        <v>0.83333333333333337</v>
      </c>
      <c r="J4" s="3">
        <f>'Stop Waits'!D$28</f>
        <v>-2.7777777777777779E-3</v>
      </c>
      <c r="K4" s="12">
        <f>'Stop Waits'!D$31</f>
        <v>0.4</v>
      </c>
      <c r="M4" t="s">
        <v>75</v>
      </c>
      <c r="N4" s="15">
        <f>'Stop Waits'!E$13</f>
        <v>1.2962962962962964E-2</v>
      </c>
      <c r="O4" s="12">
        <f>'Stop Waits'!E$26</f>
        <v>0.33333333333333331</v>
      </c>
      <c r="P4" s="3">
        <f>'Stop Waits'!E$28</f>
        <v>-3.0092592592592593E-3</v>
      </c>
      <c r="Q4" s="12">
        <f>'Stop Waits'!E$31</f>
        <v>0.4</v>
      </c>
    </row>
    <row r="5" spans="1:17" x14ac:dyDescent="0.3">
      <c r="A5" t="s">
        <v>76</v>
      </c>
      <c r="B5" s="15">
        <f>'Remove stop Hengelo'!C$13</f>
        <v>1.6203703703703705E-3</v>
      </c>
      <c r="C5" s="12">
        <f>'Remove stop Hengelo'!C$26</f>
        <v>1</v>
      </c>
      <c r="D5" s="3">
        <f>'Remove stop Hengelo'!C$28</f>
        <v>-2.0833333333333333E-3</v>
      </c>
      <c r="E5" s="12">
        <f>'Remove stop Hengelo'!C$31</f>
        <v>0.8</v>
      </c>
      <c r="G5" t="s">
        <v>76</v>
      </c>
      <c r="H5" s="15">
        <f>'Remove stop Hengelo'!D$13</f>
        <v>3.5416666666666665E-3</v>
      </c>
      <c r="I5" s="12">
        <f>'Remove stop Hengelo'!D$26</f>
        <v>1</v>
      </c>
      <c r="J5" s="3">
        <f>'Remove stop Hengelo'!D$28</f>
        <v>-2.7777777777777779E-3</v>
      </c>
      <c r="K5" s="12">
        <f>'Remove stop Hengelo'!D$31</f>
        <v>0.8</v>
      </c>
      <c r="M5" t="s">
        <v>76</v>
      </c>
      <c r="N5" s="15">
        <f>'Remove stop Hengelo'!E$13</f>
        <v>7.9398148148148162E-3</v>
      </c>
      <c r="O5" s="12">
        <f>'Remove stop Hengelo'!E$26</f>
        <v>0.66666666666666663</v>
      </c>
      <c r="P5" s="3">
        <f>'Remove stop Hengelo'!E$28</f>
        <v>-3.472222222222222E-3</v>
      </c>
      <c r="Q5" s="12">
        <f>'Remove stop Hengelo'!E$31</f>
        <v>0.6</v>
      </c>
    </row>
    <row r="6" spans="1:17" x14ac:dyDescent="0.3">
      <c r="A6" t="s">
        <v>77</v>
      </c>
      <c r="B6" s="15">
        <f>'Extra platform Hengelo'!C$13</f>
        <v>4.3287037037037044E-3</v>
      </c>
      <c r="C6" s="12">
        <f>'Extra platform Hengelo'!C$26</f>
        <v>0.83333333333333337</v>
      </c>
      <c r="D6" s="3">
        <f>'Extra platform Hengelo'!C$28</f>
        <v>-2.0833333333333333E-3</v>
      </c>
      <c r="E6" s="12">
        <f>'Extra platform Hengelo'!C$31</f>
        <v>0.6</v>
      </c>
      <c r="G6" t="s">
        <v>77</v>
      </c>
      <c r="H6" s="15">
        <f>'Extra platform Hengelo'!D$13</f>
        <v>8.5416666666666662E-3</v>
      </c>
      <c r="I6" s="12">
        <f>'Extra platform Hengelo'!D$26</f>
        <v>0.83333333333333337</v>
      </c>
      <c r="J6" s="3">
        <f>'Extra platform Hengelo'!D$28</f>
        <v>-2.7777777777777779E-3</v>
      </c>
      <c r="K6" s="12">
        <f>'Extra platform Hengelo'!D$31</f>
        <v>0.6</v>
      </c>
      <c r="M6" t="s">
        <v>77</v>
      </c>
      <c r="N6" s="15">
        <f>'Extra platform Hengelo'!E$13</f>
        <v>1.2962962962962964E-2</v>
      </c>
      <c r="O6" s="12">
        <f>'Extra platform Hengelo'!E$26</f>
        <v>0.33333333333333331</v>
      </c>
      <c r="P6" s="3">
        <f>'Extra platform Hengelo'!E$28</f>
        <v>-3.472222222222222E-3</v>
      </c>
      <c r="Q6" s="12">
        <f>'Extra platform Hengelo'!E$31</f>
        <v>0.6</v>
      </c>
    </row>
    <row r="7" spans="1:17" x14ac:dyDescent="0.3">
      <c r="A7" t="s">
        <v>78</v>
      </c>
      <c r="B7" s="15">
        <f>'Short-turn Hengelo'!C$13</f>
        <v>4.9074074074074081E-3</v>
      </c>
      <c r="C7" s="12">
        <f>'Short-turn Hengelo'!C$26</f>
        <v>1</v>
      </c>
      <c r="D7" s="3" t="str">
        <f>'Short-turn Hengelo'!C$28</f>
        <v>N/A</v>
      </c>
      <c r="E7" s="12">
        <f>'Short-turn Hengelo'!C$31</f>
        <v>0.6</v>
      </c>
      <c r="G7" t="s">
        <v>78</v>
      </c>
      <c r="H7" s="15">
        <f>'Short-turn Hengelo'!D$13</f>
        <v>6.0879629629629643E-3</v>
      </c>
      <c r="I7" s="12">
        <f>'Short-turn Hengelo'!D$26</f>
        <v>1</v>
      </c>
      <c r="J7" s="3" t="str">
        <f>'Short-turn Hengelo'!D$28</f>
        <v>N/A</v>
      </c>
      <c r="K7" s="12">
        <f>'Short-turn Hengelo'!D$31</f>
        <v>0.6</v>
      </c>
      <c r="M7" t="s">
        <v>78</v>
      </c>
      <c r="N7" s="15">
        <f>'Short-turn Hengelo'!E$13</f>
        <v>6.898148148148148E-3</v>
      </c>
      <c r="O7" s="12">
        <f>'Short-turn Hengelo'!E$26</f>
        <v>0.83333333333333337</v>
      </c>
      <c r="P7" s="3" t="str">
        <f>'Short-turn Hengelo'!E$28</f>
        <v>N/A</v>
      </c>
      <c r="Q7" s="12">
        <f>'Short-turn Hengelo'!E$31</f>
        <v>0.6</v>
      </c>
    </row>
    <row r="8" spans="1:17" x14ac:dyDescent="0.3">
      <c r="A8" t="s">
        <v>79</v>
      </c>
      <c r="B8" s="15">
        <f>'Overtake Rijssen'!C$13</f>
        <v>1.9699074074074074E-2</v>
      </c>
      <c r="C8" s="12">
        <f>'Overtake Rijssen'!C$26</f>
        <v>0.5</v>
      </c>
      <c r="D8" s="3">
        <f>'Overtake Rijssen'!C$28</f>
        <v>-2.0833333333333333E-3</v>
      </c>
      <c r="E8" s="12">
        <f>'Overtake Rijssen'!C$31</f>
        <v>0.4</v>
      </c>
      <c r="G8" t="s">
        <v>79</v>
      </c>
      <c r="H8" s="15">
        <f>'Overtake Rijssen'!D$13</f>
        <v>2.0648148148148152E-2</v>
      </c>
      <c r="I8" s="12">
        <f>'Overtake Rijssen'!J$26</f>
        <v>0.66666666666666663</v>
      </c>
      <c r="J8" s="3">
        <f>'Overtake Rijssen'!D$28</f>
        <v>-2.7777777777777779E-3</v>
      </c>
      <c r="K8" s="12">
        <f>'Overtake Rijssen'!D$31</f>
        <v>0.4</v>
      </c>
      <c r="M8" t="s">
        <v>79</v>
      </c>
      <c r="N8" s="15">
        <f>'Overtake Rijssen'!E$13</f>
        <v>2.3402777777777779E-2</v>
      </c>
      <c r="O8" s="12">
        <f>'Overtake Rijssen'!E$26</f>
        <v>0.33333333333333331</v>
      </c>
      <c r="P8" s="3">
        <f>'Overtake Rijssen'!E$28</f>
        <v>-3.472222222222222E-3</v>
      </c>
      <c r="Q8" s="12">
        <f>'Overtake Rijssen'!E$31</f>
        <v>0.4</v>
      </c>
    </row>
    <row r="9" spans="1:17" x14ac:dyDescent="0.3">
      <c r="A9" t="s">
        <v>80</v>
      </c>
      <c r="B9" s="15">
        <f>'Alternative ICE Paths'!C$13</f>
        <v>3.8657407407407403E-3</v>
      </c>
      <c r="C9" s="12">
        <f>'Alternative ICE Paths'!C$26</f>
        <v>1</v>
      </c>
      <c r="D9" s="3">
        <f>'Alternative ICE Paths'!C$28</f>
        <v>1.5509259259259261E-2</v>
      </c>
      <c r="E9" s="12">
        <f>'Alternative ICE Paths'!C$31</f>
        <v>1</v>
      </c>
      <c r="G9" t="s">
        <v>80</v>
      </c>
      <c r="H9" s="15">
        <f>'Alternative ICE Paths'!D$13</f>
        <v>3.8657407407407403E-3</v>
      </c>
      <c r="I9" s="12">
        <f>'Alternative ICE Paths'!D$26</f>
        <v>1</v>
      </c>
      <c r="J9" s="3">
        <f>'Alternative ICE Paths'!D$28</f>
        <v>1.4814814814814815E-2</v>
      </c>
      <c r="K9" s="12">
        <f>'Alternative ICE Paths'!D$31</f>
        <v>1</v>
      </c>
      <c r="M9" t="s">
        <v>80</v>
      </c>
      <c r="N9" s="15">
        <f>'Alternative ICE Paths'!E$13</f>
        <v>3.8657407407407403E-3</v>
      </c>
      <c r="O9" s="12">
        <f>'Alternative ICE Paths'!E$26</f>
        <v>1</v>
      </c>
      <c r="P9" s="3">
        <f>'Alternative ICE Paths'!E$28</f>
        <v>1.4120370370370372E-2</v>
      </c>
      <c r="Q9" s="12">
        <f>'Alternative ICE Paths'!E$31</f>
        <v>1</v>
      </c>
    </row>
    <row r="10" spans="1:17" x14ac:dyDescent="0.3">
      <c r="A10" t="s">
        <v>81</v>
      </c>
      <c r="B10" s="15">
        <f>'Stop Almelo'!C$13</f>
        <v>7.5462962962962957E-3</v>
      </c>
      <c r="C10" s="12">
        <f>'Stop Almelo'!C$26</f>
        <v>0.83333333333333337</v>
      </c>
      <c r="D10" s="3">
        <f>'Stop Almelo'!C$28</f>
        <v>-2.0833333333333333E-3</v>
      </c>
      <c r="E10" s="12">
        <f>'Stop Almelo'!C$31</f>
        <v>0.4</v>
      </c>
      <c r="G10" t="s">
        <v>81</v>
      </c>
      <c r="H10" s="15">
        <f>'Stop Almelo'!D$13</f>
        <v>9.2592592592592605E-3</v>
      </c>
      <c r="I10" s="12">
        <f>'Stop Almelo'!D$26</f>
        <v>0.83333333333333337</v>
      </c>
      <c r="J10" s="3">
        <f>'Stop Almelo'!D$28</f>
        <v>-2.7777777777777779E-3</v>
      </c>
      <c r="K10" s="12">
        <f>'Stop Almelo'!D$31</f>
        <v>0.4</v>
      </c>
      <c r="M10" t="s">
        <v>81</v>
      </c>
      <c r="N10" s="15">
        <f>'Stop Almelo'!E$13</f>
        <v>1.3587962962962965E-2</v>
      </c>
      <c r="O10" s="12">
        <f>'Stop Almelo'!E$26</f>
        <v>0.33333333333333331</v>
      </c>
      <c r="P10" s="3">
        <f>'Stop Almelo'!E$28</f>
        <v>-3.472222222222222E-3</v>
      </c>
      <c r="Q10" s="12">
        <f>'Stop Almelo'!E$31</f>
        <v>0.4</v>
      </c>
    </row>
    <row r="12" spans="1:17" x14ac:dyDescent="0.3">
      <c r="A12" s="1" t="s">
        <v>82</v>
      </c>
      <c r="B12" t="s">
        <v>67</v>
      </c>
      <c r="C12" s="14" t="s">
        <v>68</v>
      </c>
      <c r="D12" s="14" t="s">
        <v>69</v>
      </c>
      <c r="E12" t="s">
        <v>70</v>
      </c>
      <c r="G12" s="1" t="s">
        <v>83</v>
      </c>
      <c r="H12" t="s">
        <v>67</v>
      </c>
      <c r="I12" s="14" t="s">
        <v>68</v>
      </c>
      <c r="J12" s="14" t="s">
        <v>69</v>
      </c>
      <c r="K12" t="s">
        <v>70</v>
      </c>
      <c r="M12" s="1" t="s">
        <v>84</v>
      </c>
      <c r="N12" t="s">
        <v>67</v>
      </c>
      <c r="O12" s="14" t="s">
        <v>68</v>
      </c>
      <c r="P12" s="14" t="s">
        <v>69</v>
      </c>
      <c r="Q12" t="s">
        <v>70</v>
      </c>
    </row>
    <row r="13" spans="1:17" x14ac:dyDescent="0.3">
      <c r="A13" t="s">
        <v>73</v>
      </c>
      <c r="B13" s="10">
        <f>'Cancel Stop Hgl-Odz-Hgl'!F$13</f>
        <v>1.3773148148148149E-2</v>
      </c>
      <c r="C13" s="12">
        <f>'Cancel Stop Hgl-Odz-Hgl'!F$26</f>
        <v>0.5</v>
      </c>
      <c r="D13" s="3">
        <f>'Cancel Stop Hgl-Odz-Hgl'!F$28</f>
        <v>-4.0046296296296297E-3</v>
      </c>
      <c r="E13" s="12">
        <f>'Cancel Stop Hgl-Odz-Hgl'!F$31</f>
        <v>0.8</v>
      </c>
      <c r="G13" t="s">
        <v>73</v>
      </c>
      <c r="H13" s="10">
        <f>'Cancel Stop Hgl-Odz-Hgl'!G$13</f>
        <v>2.4259259259259258E-2</v>
      </c>
      <c r="I13" s="12">
        <f>'Cancel Stop Hgl-Odz-Hgl'!G$26</f>
        <v>0.5</v>
      </c>
      <c r="J13" s="3">
        <f>'Cancel Stop Hgl-Odz-Hgl'!G$28</f>
        <v>-4.0046296296296288E-3</v>
      </c>
      <c r="K13" s="12">
        <f>'Cancel Stop Hgl-Odz-Hgl'!G$31</f>
        <v>0.8</v>
      </c>
      <c r="M13" t="s">
        <v>73</v>
      </c>
      <c r="N13" s="10">
        <f>'Cancel Stop Hgl-Odz-Hgl'!H$13</f>
        <v>2.1458333333333336E-2</v>
      </c>
      <c r="O13" s="12">
        <f>'Cancel Stop Hgl-Odz-Hgl'!H$26</f>
        <v>0.5</v>
      </c>
      <c r="P13" s="3">
        <f>'Cancel Stop Hgl-Odz-Hgl'!H$28</f>
        <v>-3.5879629629629573E-3</v>
      </c>
      <c r="Q13" s="12">
        <f>'Cancel Stop Hgl-Odz-Hgl'!H$31</f>
        <v>1</v>
      </c>
    </row>
    <row r="14" spans="1:17" x14ac:dyDescent="0.3">
      <c r="A14" s="13" t="s">
        <v>74</v>
      </c>
      <c r="B14" s="15">
        <f>'ICE Waits'!F$13</f>
        <v>8.6805555555555559E-3</v>
      </c>
      <c r="C14" s="12">
        <f>'ICE Waits'!F$26</f>
        <v>0.83333333333333337</v>
      </c>
      <c r="D14" s="3">
        <f>'ICE Waits'!F$28</f>
        <v>5.5324074074074069E-3</v>
      </c>
      <c r="E14" s="12">
        <f>'ICE Waits'!F$31</f>
        <v>1</v>
      </c>
      <c r="G14" s="13" t="s">
        <v>74</v>
      </c>
      <c r="H14" s="15">
        <f>'ICE Waits'!G$13</f>
        <v>8.6805555555555559E-3</v>
      </c>
      <c r="I14" s="12">
        <f>'ICE Waits'!G$26</f>
        <v>0.83333333333333337</v>
      </c>
      <c r="J14" s="3">
        <f>'ICE Waits'!G$28</f>
        <v>4.8379629629629632E-3</v>
      </c>
      <c r="K14" s="12">
        <f>'ICE Waits'!G$31</f>
        <v>1</v>
      </c>
      <c r="M14" s="13" t="s">
        <v>74</v>
      </c>
      <c r="N14" s="15">
        <f>'ICE Waits'!H$13</f>
        <v>8.6805555555555559E-3</v>
      </c>
      <c r="O14" s="12">
        <f>'ICE Waits'!H$26</f>
        <v>0.83333333333333337</v>
      </c>
      <c r="P14" s="3">
        <f>'ICE Waits'!H$28</f>
        <v>4.1435185185185238E-3</v>
      </c>
      <c r="Q14" s="12">
        <f>'ICE Waits'!H$31</f>
        <v>1</v>
      </c>
    </row>
    <row r="15" spans="1:17" x14ac:dyDescent="0.3">
      <c r="A15" t="s">
        <v>75</v>
      </c>
      <c r="B15" s="15">
        <f>'Stop Waits'!F$13</f>
        <v>1.5740740740740739E-2</v>
      </c>
      <c r="C15" s="12">
        <f>'Stop Waits'!F$26</f>
        <v>0.33333333333333331</v>
      </c>
      <c r="D15" s="3">
        <f>'Stop Waits'!F$28</f>
        <v>-4.0046296296296297E-3</v>
      </c>
      <c r="E15" s="12">
        <f>'Stop Waits'!F$31</f>
        <v>0.4</v>
      </c>
      <c r="G15" t="s">
        <v>75</v>
      </c>
      <c r="H15" s="15">
        <f>'Stop Waits'!G$13</f>
        <v>2.6689814814814816E-2</v>
      </c>
      <c r="I15" s="12">
        <f>'Stop Waits'!G$26</f>
        <v>0.16666666666666666</v>
      </c>
      <c r="J15" s="3">
        <f>'Stop Waits'!G$28</f>
        <v>-4.0046296296296288E-3</v>
      </c>
      <c r="K15" s="12">
        <f>'Stop Waits'!G$31</f>
        <v>0.4</v>
      </c>
      <c r="M15" t="s">
        <v>75</v>
      </c>
      <c r="N15" s="15">
        <f>'Stop Waits'!H$13</f>
        <v>2.4583333333333339E-2</v>
      </c>
      <c r="O15" s="12">
        <f>'Stop Waits'!H$26</f>
        <v>0.33333333333333331</v>
      </c>
      <c r="P15" s="3">
        <f>'Stop Waits'!H$28</f>
        <v>-3.5879629629629573E-3</v>
      </c>
      <c r="Q15" s="12">
        <f>'Stop Waits'!H$31</f>
        <v>0.6</v>
      </c>
    </row>
    <row r="16" spans="1:17" x14ac:dyDescent="0.3">
      <c r="A16" t="s">
        <v>76</v>
      </c>
      <c r="B16" s="15">
        <f>'Remove stop Hengelo'!F$13</f>
        <v>1.1782407407407408E-2</v>
      </c>
      <c r="C16" s="12">
        <f>'Remove stop Hengelo'!F$26</f>
        <v>0.66666666666666663</v>
      </c>
      <c r="D16" s="3">
        <f>'Remove stop Hengelo'!F$28</f>
        <v>-4.1666666666666666E-3</v>
      </c>
      <c r="E16" s="12">
        <f>'Remove stop Hengelo'!F$31</f>
        <v>0.6</v>
      </c>
      <c r="G16" t="s">
        <v>76</v>
      </c>
      <c r="H16" s="15">
        <f>'Remove stop Hengelo'!G$13</f>
        <v>1.3171296296296296E-2</v>
      </c>
      <c r="I16" s="12">
        <f>'Remove stop Hengelo'!G$26</f>
        <v>0.5</v>
      </c>
      <c r="J16" s="3">
        <f>'Remove stop Hengelo'!G$28</f>
        <v>-4.4444444444444436E-3</v>
      </c>
      <c r="K16" s="12">
        <f>'Remove stop Hengelo'!G$31</f>
        <v>0.8</v>
      </c>
      <c r="M16" t="s">
        <v>76</v>
      </c>
      <c r="N16" s="15">
        <f>'Remove stop Hengelo'!H$13</f>
        <v>1.3356481481481481E-2</v>
      </c>
      <c r="O16" s="12">
        <f>'Remove stop Hengelo'!H$26</f>
        <v>0.5</v>
      </c>
      <c r="P16" s="3">
        <f>'Remove stop Hengelo'!H$28</f>
        <v>-5.0925925925925869E-3</v>
      </c>
      <c r="Q16" s="12">
        <f>'Remove stop Hengelo'!H$31</f>
        <v>0.8</v>
      </c>
    </row>
    <row r="17" spans="1:17" x14ac:dyDescent="0.3">
      <c r="A17" t="s">
        <v>77</v>
      </c>
      <c r="B17" s="15">
        <f>'Extra platform Hengelo'!F$13</f>
        <v>1.5740740740740739E-2</v>
      </c>
      <c r="C17" s="12">
        <f>'Extra platform Hengelo'!F$26</f>
        <v>0.33333333333333331</v>
      </c>
      <c r="D17" s="3">
        <f>'Extra platform Hengelo'!F$28</f>
        <v>-4.0046296296296297E-3</v>
      </c>
      <c r="E17" s="12">
        <f>'Extra platform Hengelo'!F$31</f>
        <v>0.6</v>
      </c>
      <c r="G17" t="s">
        <v>77</v>
      </c>
      <c r="H17" s="15">
        <f>'Extra platform Hengelo'!G$13</f>
        <v>2.0277777777777777E-2</v>
      </c>
      <c r="I17" s="12">
        <f>'Extra platform Hengelo'!G$26</f>
        <v>0.5</v>
      </c>
      <c r="J17" s="3">
        <f>'Extra platform Hengelo'!G$28</f>
        <v>-2.8240740740740735E-3</v>
      </c>
      <c r="K17" s="12">
        <f>'Extra platform Hengelo'!KG$31</f>
        <v>0</v>
      </c>
      <c r="M17" t="s">
        <v>77</v>
      </c>
      <c r="N17" s="15">
        <f>'Extra platform Hengelo'!H$13</f>
        <v>2.0393518518518519E-2</v>
      </c>
      <c r="O17" s="12">
        <f>'Extra platform Hengelo'!H$26</f>
        <v>0.5</v>
      </c>
      <c r="P17" s="3">
        <f>'Extra platform Hengelo'!H$28</f>
        <v>-3.4953703703703644E-3</v>
      </c>
      <c r="Q17" s="12">
        <f>'Extra platform Hengelo'!H$31</f>
        <v>1</v>
      </c>
    </row>
    <row r="18" spans="1:17" x14ac:dyDescent="0.3">
      <c r="A18" t="s">
        <v>78</v>
      </c>
      <c r="B18" s="15">
        <f>'Short-turn Hengelo'!F$13</f>
        <v>8.4722222222222213E-3</v>
      </c>
      <c r="C18" s="12">
        <f>'Short-turn Hengelo'!F$26</f>
        <v>0.83333333333333337</v>
      </c>
      <c r="D18" s="3" t="str">
        <f>'Short-turn Hengelo'!F$28</f>
        <v>N/A</v>
      </c>
      <c r="E18" s="12">
        <f>'Short-turn Hengelo'!F$31</f>
        <v>0.6</v>
      </c>
      <c r="G18" t="s">
        <v>78</v>
      </c>
      <c r="H18" s="15">
        <f>'Short-turn Hengelo'!G$13</f>
        <v>1.2314814814814815E-2</v>
      </c>
      <c r="I18" s="12">
        <f>'Short-turn Hengelo'!G$26</f>
        <v>0.83333333333333337</v>
      </c>
      <c r="J18" s="3" t="str">
        <f>'Short-turn Hengelo'!G$28</f>
        <v>N/A</v>
      </c>
      <c r="K18" s="12">
        <f>'Short-turn Hengelo'!G$31</f>
        <v>1</v>
      </c>
      <c r="M18" t="s">
        <v>78</v>
      </c>
      <c r="N18" s="15">
        <f>'Short-turn Hengelo'!H$13</f>
        <v>1.2314814814814815E-2</v>
      </c>
      <c r="O18" s="12">
        <f>'Short-turn Hengelo'!H$26</f>
        <v>0.83333333333333337</v>
      </c>
      <c r="P18" s="3" t="str">
        <f>'Short-turn Hengelo'!H$28</f>
        <v>N/A</v>
      </c>
      <c r="Q18" s="12">
        <f>'Short-turn Hengelo'!H$31</f>
        <v>1</v>
      </c>
    </row>
    <row r="19" spans="1:17" x14ac:dyDescent="0.3">
      <c r="A19" t="s">
        <v>79</v>
      </c>
      <c r="B19" s="15">
        <f>'Overtake Rijssen'!F$13</f>
        <v>2.5162037037037035E-2</v>
      </c>
      <c r="C19" s="12">
        <f>'Overtake Rijssen'!F$26</f>
        <v>0.33333333333333331</v>
      </c>
      <c r="D19" s="3">
        <f>'Overtake Rijssen'!F$28</f>
        <v>-4.0046296296296297E-3</v>
      </c>
      <c r="E19" s="12">
        <f>'Overtake Rijssen'!F$31</f>
        <v>0.4</v>
      </c>
      <c r="G19" t="s">
        <v>79</v>
      </c>
      <c r="H19" s="15">
        <f>'Overtake Rijssen'!G$13</f>
        <v>1.9560185185185184E-2</v>
      </c>
      <c r="I19" s="12">
        <f>'Overtake Rijssen'!G$26</f>
        <v>0.66666666666666663</v>
      </c>
      <c r="J19" s="3">
        <f>'Overtake Rijssen'!G$28</f>
        <v>2.9629629629629632E-3</v>
      </c>
      <c r="K19" s="12">
        <f>'Overtake Rijssen'!G$31</f>
        <v>1</v>
      </c>
      <c r="M19" t="s">
        <v>79</v>
      </c>
      <c r="N19" s="15">
        <f>'Overtake Rijssen'!H$13</f>
        <v>1.9560185185185184E-2</v>
      </c>
      <c r="O19" s="12">
        <f>'Overtake Rijssen'!H$26</f>
        <v>0.66666666666666663</v>
      </c>
      <c r="P19" s="3">
        <f>'Overtake Rijssen'!H$28</f>
        <v>2.2685185185185239E-3</v>
      </c>
      <c r="Q19" s="12">
        <f>'Overtake Rijssen'!H$31</f>
        <v>1</v>
      </c>
    </row>
    <row r="20" spans="1:17" x14ac:dyDescent="0.3">
      <c r="A20" t="s">
        <v>80</v>
      </c>
      <c r="B20" s="15">
        <f>'Alternative ICE Paths'!F$13</f>
        <v>3.8657407407407403E-3</v>
      </c>
      <c r="C20" s="12">
        <f>'Alternative ICE Paths'!F$26</f>
        <v>1</v>
      </c>
      <c r="D20" s="3">
        <f>'Alternative ICE Paths'!F$28</f>
        <v>1.3425925925925928E-2</v>
      </c>
      <c r="E20" s="12">
        <f>'Alternative ICE Paths'!F$31</f>
        <v>1</v>
      </c>
      <c r="G20" t="s">
        <v>80</v>
      </c>
      <c r="H20" s="15">
        <f>'Alternative ICE Paths'!G$13</f>
        <v>3.8657407407407403E-3</v>
      </c>
      <c r="I20" s="12">
        <f>'Alternative ICE Paths'!G$26</f>
        <v>1</v>
      </c>
      <c r="J20" s="3">
        <f>'Alternative ICE Paths'!G$28</f>
        <v>1.2731481481481483E-2</v>
      </c>
      <c r="K20" s="12">
        <f>'Alternative ICE Paths'!G$31</f>
        <v>1</v>
      </c>
      <c r="M20" t="s">
        <v>80</v>
      </c>
      <c r="N20" s="15">
        <f>'Alternative ICE Paths'!H$13</f>
        <v>3.8657407407407403E-3</v>
      </c>
      <c r="O20" s="12">
        <f>'Alternative ICE Paths'!H$26</f>
        <v>1</v>
      </c>
      <c r="P20" s="3">
        <f>'Alternative ICE Paths'!H$28</f>
        <v>1.2037037037037044E-2</v>
      </c>
      <c r="Q20" s="12">
        <f>'Alternative ICE Paths'!H$31</f>
        <v>1</v>
      </c>
    </row>
    <row r="21" spans="1:17" x14ac:dyDescent="0.3">
      <c r="A21" t="s">
        <v>81</v>
      </c>
      <c r="B21" s="15">
        <f>'Stop Almelo'!F$13</f>
        <v>1.5671296296296294E-2</v>
      </c>
      <c r="C21" s="12">
        <f>'Stop Almelo'!F$26</f>
        <v>0.33333333333333331</v>
      </c>
      <c r="D21" s="3">
        <f>'Stop Almelo'!F$28</f>
        <v>-3.7962962962962963E-3</v>
      </c>
      <c r="E21" s="12">
        <f>'Stop Almelo'!F$31</f>
        <v>0.4</v>
      </c>
      <c r="G21" t="s">
        <v>81</v>
      </c>
      <c r="H21" s="15">
        <f>'Stop Almelo'!G$13</f>
        <v>2.0347222222222221E-2</v>
      </c>
      <c r="I21" s="12">
        <f>'Stop Almelo'!G$26</f>
        <v>0.5</v>
      </c>
      <c r="J21" s="3">
        <f>'Stop Almelo'!G$28</f>
        <v>-2.777777777777777E-3</v>
      </c>
      <c r="K21" s="12">
        <f>'Stop Almelo'!G$31</f>
        <v>1</v>
      </c>
      <c r="M21" t="s">
        <v>81</v>
      </c>
      <c r="N21" s="15">
        <f>'Stop Almelo'!H$13</f>
        <v>2.0416666666666666E-2</v>
      </c>
      <c r="O21" s="12">
        <f>'Stop Almelo'!H$26</f>
        <v>0.5</v>
      </c>
      <c r="P21" s="3">
        <f>'Stop Almelo'!H$28</f>
        <v>-3.4953703703703644E-3</v>
      </c>
      <c r="Q21" s="12">
        <f>'Stop Almelo'!H$31</f>
        <v>1</v>
      </c>
    </row>
    <row r="23" spans="1:17" x14ac:dyDescent="0.3">
      <c r="A23" s="1" t="s">
        <v>85</v>
      </c>
      <c r="B23" t="s">
        <v>67</v>
      </c>
      <c r="C23" s="14" t="s">
        <v>68</v>
      </c>
      <c r="D23" s="14" t="s">
        <v>69</v>
      </c>
      <c r="E23" t="s">
        <v>70</v>
      </c>
      <c r="G23" s="1" t="s">
        <v>86</v>
      </c>
      <c r="H23" t="s">
        <v>67</v>
      </c>
      <c r="I23" s="14" t="s">
        <v>68</v>
      </c>
      <c r="J23" s="14" t="s">
        <v>69</v>
      </c>
      <c r="K23" t="s">
        <v>70</v>
      </c>
      <c r="M23" s="1" t="s">
        <v>87</v>
      </c>
      <c r="N23" t="s">
        <v>67</v>
      </c>
      <c r="O23" s="14" t="s">
        <v>68</v>
      </c>
      <c r="P23" s="14" t="s">
        <v>69</v>
      </c>
      <c r="Q23" t="s">
        <v>70</v>
      </c>
    </row>
    <row r="24" spans="1:17" x14ac:dyDescent="0.3">
      <c r="A24" t="s">
        <v>73</v>
      </c>
      <c r="B24" s="10">
        <f>'Cancel Stop Hgl-Odz-Hgl'!I$13</f>
        <v>2.3125E-2</v>
      </c>
      <c r="C24" s="12">
        <f>'Cancel Stop Hgl-Odz-Hgl'!I$26</f>
        <v>0.5</v>
      </c>
      <c r="D24" s="3">
        <f>'Cancel Stop Hgl-Odz-Hgl'!I$28</f>
        <v>-4.0046296296296306E-3</v>
      </c>
      <c r="E24" s="12">
        <f>'Cancel Stop Hgl-Odz-Hgl'!I$31</f>
        <v>1</v>
      </c>
      <c r="G24" t="s">
        <v>73</v>
      </c>
      <c r="H24" s="10">
        <f>'Cancel Stop Hgl-Odz-Hgl'!J$13</f>
        <v>1.087962962962963E-2</v>
      </c>
      <c r="I24" s="12">
        <f>'Cancel Stop Hgl-Odz-Hgl'!J$26</f>
        <v>0.66666666666666663</v>
      </c>
      <c r="J24" s="3">
        <f>'Cancel Stop Hgl-Odz-Hgl'!J$28</f>
        <v>2.7546296296296338E-3</v>
      </c>
      <c r="K24" s="12">
        <f>'Cancel Stop Hgl-Odz-Hgl'!J$31</f>
        <v>1</v>
      </c>
      <c r="M24" t="s">
        <v>73</v>
      </c>
      <c r="N24" s="10">
        <f>'Cancel Stop Hgl-Odz-Hgl'!K$13</f>
        <v>1.087962962962963E-2</v>
      </c>
      <c r="O24" s="12">
        <f>'Cancel Stop Hgl-Odz-Hgl'!K$26</f>
        <v>0.66666666666666663</v>
      </c>
      <c r="P24" s="3">
        <f>'Cancel Stop Hgl-Odz-Hgl'!K$28</f>
        <v>2.0601851851851831E-3</v>
      </c>
      <c r="Q24" s="12">
        <f>'Cancel Stop Hgl-Odz-Hgl'!K$31</f>
        <v>1</v>
      </c>
    </row>
    <row r="25" spans="1:17" x14ac:dyDescent="0.3">
      <c r="A25" s="13" t="s">
        <v>74</v>
      </c>
      <c r="B25" s="15">
        <f>'ICE Waits'!I$13</f>
        <v>6.2962962962962964E-3</v>
      </c>
      <c r="C25" s="12">
        <f>'ICE Waits'!I$26</f>
        <v>0.83333333333333337</v>
      </c>
      <c r="D25" s="3">
        <f>'ICE Waits'!I$28</f>
        <v>3.4490740740740732E-3</v>
      </c>
      <c r="E25" s="12">
        <f>'ICE Waits'!I$31</f>
        <v>1</v>
      </c>
      <c r="G25" s="13" t="s">
        <v>74</v>
      </c>
      <c r="H25" s="15">
        <f>'ICE Waits'!J$13</f>
        <v>8.6574074074074071E-3</v>
      </c>
      <c r="I25" s="12">
        <f>'ICE Waits'!J$26</f>
        <v>0.83333333333333337</v>
      </c>
      <c r="J25" s="3">
        <f>'ICE Waits'!J$28</f>
        <v>2.7546296296296338E-3</v>
      </c>
      <c r="K25" s="12">
        <f>'ICE Waits'!J$31</f>
        <v>1</v>
      </c>
      <c r="M25" s="13" t="s">
        <v>74</v>
      </c>
      <c r="N25" s="15">
        <f>'ICE Waits'!K$13</f>
        <v>8.6805555555555559E-3</v>
      </c>
      <c r="O25" s="12">
        <f>'ICE Waits'!K$26</f>
        <v>0.83333333333333337</v>
      </c>
      <c r="P25" s="3">
        <f>'ICE Waits'!K$28</f>
        <v>2.0601851851851831E-3</v>
      </c>
      <c r="Q25" s="12">
        <f>'ICE Waits'!K$31</f>
        <v>1</v>
      </c>
    </row>
    <row r="26" spans="1:17" x14ac:dyDescent="0.3">
      <c r="A26" t="s">
        <v>75</v>
      </c>
      <c r="B26" s="15">
        <f>'Stop Waits'!I$13</f>
        <v>2.6944444444444444E-2</v>
      </c>
      <c r="C26" s="12">
        <f>'Stop Waits'!I$26</f>
        <v>0.33333333333333331</v>
      </c>
      <c r="D26" s="3">
        <f>'Stop Waits'!I$28</f>
        <v>-4.0046296296296306E-3</v>
      </c>
      <c r="E26" s="12">
        <f>'Stop Waits'!I$31</f>
        <v>0.6</v>
      </c>
      <c r="G26" t="s">
        <v>75</v>
      </c>
      <c r="H26" s="15">
        <f>'Stop Waits'!J$13</f>
        <v>1.9328703703703702E-2</v>
      </c>
      <c r="I26" s="12">
        <f>'Stop Waits'!J$26</f>
        <v>0.5</v>
      </c>
      <c r="J26" s="3">
        <f>'Stop Waits'!J$28</f>
        <v>2.7546296296296338E-3</v>
      </c>
      <c r="K26" s="12">
        <f>'Stop Waits'!J$31</f>
        <v>0.6</v>
      </c>
      <c r="M26" t="s">
        <v>75</v>
      </c>
      <c r="N26" s="15">
        <f>'Stop Waits'!K$13</f>
        <v>2.2453703703703705E-2</v>
      </c>
      <c r="O26" s="12">
        <f>'Stop Waits'!K$26</f>
        <v>0.5</v>
      </c>
      <c r="P26" s="3">
        <f>'Stop Waits'!K$28</f>
        <v>2.0601851851851831E-3</v>
      </c>
      <c r="Q26" s="12">
        <f>'Stop Waits'!K$31</f>
        <v>0.6</v>
      </c>
    </row>
    <row r="27" spans="1:17" x14ac:dyDescent="0.3">
      <c r="A27" t="s">
        <v>76</v>
      </c>
      <c r="B27" s="15">
        <f>'Remove stop Hengelo'!I$13</f>
        <v>2.2847222222222224E-2</v>
      </c>
      <c r="C27" s="12">
        <f>'Remove stop Hengelo'!I$26</f>
        <v>0.5</v>
      </c>
      <c r="D27" s="3">
        <f>'Remove stop Hengelo'!I$28</f>
        <v>-5.3240740740740748E-3</v>
      </c>
      <c r="E27" s="12">
        <f>'Remove stop Hengelo'!I$31</f>
        <v>0.8</v>
      </c>
      <c r="G27" t="s">
        <v>76</v>
      </c>
      <c r="H27" s="15">
        <f>'Remove stop Hengelo'!J$13</f>
        <v>7.1759259259259259E-3</v>
      </c>
      <c r="I27" s="12">
        <f>'Remove stop Hengelo'!J$26</f>
        <v>0.66666666666666663</v>
      </c>
      <c r="J27" s="3">
        <f>'Remove stop Hengelo'!J$28</f>
        <v>2.7546296296296338E-3</v>
      </c>
      <c r="K27" s="12">
        <f>'Remove stop Hengelo'!J$31</f>
        <v>1</v>
      </c>
      <c r="M27" t="s">
        <v>76</v>
      </c>
      <c r="N27" s="15">
        <f>'Remove stop Hengelo'!K$13</f>
        <v>7.8703703703703713E-3</v>
      </c>
      <c r="O27" s="12">
        <f>'Remove stop Hengelo'!K$26</f>
        <v>0.66666666666666663</v>
      </c>
      <c r="P27" s="3">
        <f>'Remove stop Hengelo'!K$28</f>
        <v>2.0601851851851831E-3</v>
      </c>
      <c r="Q27" s="12">
        <f>'Remove stop Hengelo'!K$31</f>
        <v>1</v>
      </c>
    </row>
    <row r="28" spans="1:17" x14ac:dyDescent="0.3">
      <c r="A28" t="s">
        <v>77</v>
      </c>
      <c r="B28" s="15">
        <f>'Extra platform Hengelo'!I$13</f>
        <v>2.1620370370370373E-2</v>
      </c>
      <c r="C28" s="12">
        <f>'Extra platform Hengelo'!I$26</f>
        <v>0.5</v>
      </c>
      <c r="D28" s="3">
        <f>'Extra platform Hengelo'!I$28</f>
        <v>-4.0046296296296306E-3</v>
      </c>
      <c r="E28" s="12">
        <f>'Extra platform Hengelo'!I$31</f>
        <v>1</v>
      </c>
      <c r="G28" t="s">
        <v>77</v>
      </c>
      <c r="H28" s="15">
        <f>'Extra platform Hengelo'!J$13</f>
        <v>8.611111111111111E-3</v>
      </c>
      <c r="I28" s="12">
        <f>'Extra platform Hengelo'!J$26</f>
        <v>0.66666666666666663</v>
      </c>
      <c r="J28" s="3">
        <f>'Extra platform Hengelo'!J$28</f>
        <v>2.7546296296296338E-3</v>
      </c>
      <c r="K28" s="12">
        <f>'Extra platform Hengelo'!J$31</f>
        <v>1</v>
      </c>
      <c r="M28" t="s">
        <v>77</v>
      </c>
      <c r="N28" s="15">
        <f>'Extra platform Hengelo'!K$13</f>
        <v>9.1435185185185178E-3</v>
      </c>
      <c r="O28" s="12">
        <f>'Extra platform Hengelo'!K$26</f>
        <v>0.66666666666666663</v>
      </c>
      <c r="P28" s="3">
        <f>'Extra platform Hengelo'!K$28</f>
        <v>2.0601851851851831E-3</v>
      </c>
      <c r="Q28" s="12">
        <f>'Extra platform Hengelo'!K$31</f>
        <v>1</v>
      </c>
    </row>
    <row r="29" spans="1:17" x14ac:dyDescent="0.3">
      <c r="A29" t="s">
        <v>78</v>
      </c>
      <c r="B29" s="15">
        <f>'Short-turn Hengelo'!I$13</f>
        <v>1.2314814814814815E-2</v>
      </c>
      <c r="C29" s="12">
        <f>'Short-turn Hengelo'!I$26</f>
        <v>0.83333333333333337</v>
      </c>
      <c r="D29" s="3" t="str">
        <f>'Short-turn Hengelo'!I$28</f>
        <v>N/A</v>
      </c>
      <c r="E29" s="12">
        <f>'Short-turn Hengelo'!I$31</f>
        <v>1</v>
      </c>
      <c r="G29" t="s">
        <v>78</v>
      </c>
      <c r="H29" s="15">
        <f>'Short-turn Hengelo'!J$13</f>
        <v>3.0324074074074073E-3</v>
      </c>
      <c r="I29" s="12">
        <f>'Short-turn Hengelo'!J$26</f>
        <v>0.83333333333333337</v>
      </c>
      <c r="J29" s="3" t="str">
        <f>'Short-turn Hengelo'!J$28</f>
        <v>N/A</v>
      </c>
      <c r="K29" s="12">
        <f>'Short-turn Hengelo'!J$31</f>
        <v>1</v>
      </c>
      <c r="M29" t="s">
        <v>78</v>
      </c>
      <c r="N29" s="15">
        <f>'Cancel Stop Hgl-Odz-Hgl'!K$13</f>
        <v>1.087962962962963E-2</v>
      </c>
      <c r="O29" s="12">
        <f>'Short-turn Hengelo'!K$26</f>
        <v>0.83333333333333337</v>
      </c>
      <c r="P29" s="3" t="str">
        <f>'Short-turn Hengelo'!K$28</f>
        <v>N/A</v>
      </c>
      <c r="Q29" s="12">
        <f>'Short-turn Hengelo'!K$31</f>
        <v>1</v>
      </c>
    </row>
    <row r="30" spans="1:17" x14ac:dyDescent="0.3">
      <c r="A30" t="s">
        <v>79</v>
      </c>
      <c r="B30" s="15">
        <f>'Overtake Rijssen'!I$13</f>
        <v>1.9560185185185184E-2</v>
      </c>
      <c r="C30" s="12">
        <f>'Overtake Rijssen'!I$26</f>
        <v>0.66666666666666663</v>
      </c>
      <c r="D30" s="3">
        <f>'Overtake Rijssen'!I$28</f>
        <v>1.5740740740740732E-3</v>
      </c>
      <c r="E30" s="12">
        <f>'Overtake Rijssen'!I$31</f>
        <v>1</v>
      </c>
      <c r="G30" t="s">
        <v>79</v>
      </c>
      <c r="H30" s="15">
        <f>'Overtake Rijssen'!J$13</f>
        <v>1.9560185185185184E-2</v>
      </c>
      <c r="I30" s="12">
        <f>'Overtake Rijssen'!J$26</f>
        <v>0.66666666666666663</v>
      </c>
      <c r="J30" s="3">
        <f>'Overtake Rijssen'!J$28</f>
        <v>8.7962962962963385E-4</v>
      </c>
      <c r="K30" s="12">
        <f>'Overtake Rijssen'!J$31</f>
        <v>1</v>
      </c>
      <c r="M30" t="s">
        <v>79</v>
      </c>
      <c r="N30" s="15">
        <f>'Overtake Rijssen'!K$13</f>
        <v>1.9560185185185184E-2</v>
      </c>
      <c r="O30" s="12">
        <f>'Overtake Rijssen'!K$26</f>
        <v>0.66666666666666663</v>
      </c>
      <c r="P30" s="3">
        <f>'Overtake Rijssen'!K$28</f>
        <v>1.851851851851832E-4</v>
      </c>
      <c r="Q30" s="12">
        <f>'Overtake Rijssen'!K$31</f>
        <v>1</v>
      </c>
    </row>
    <row r="31" spans="1:17" x14ac:dyDescent="0.3">
      <c r="A31" t="s">
        <v>80</v>
      </c>
      <c r="B31" s="15">
        <f>'Alternative ICE Paths'!I$13</f>
        <v>3.8657407407407403E-3</v>
      </c>
      <c r="C31" s="12">
        <f>'Alternative ICE Paths'!I$26</f>
        <v>1</v>
      </c>
      <c r="D31" s="3">
        <f>'Alternative ICE Paths'!I$28</f>
        <v>1.1342592592592593E-2</v>
      </c>
      <c r="E31" s="12">
        <f>'Alternative ICE Paths'!I$31</f>
        <v>1</v>
      </c>
      <c r="G31" t="s">
        <v>80</v>
      </c>
      <c r="H31" s="15">
        <f>'Alternative ICE Paths'!J$13</f>
        <v>3.8657407407407403E-3</v>
      </c>
      <c r="I31" s="12">
        <f>'Alternative ICE Paths'!J$26</f>
        <v>1</v>
      </c>
      <c r="J31" s="3">
        <f>'Alternative ICE Paths'!J$28</f>
        <v>1.0648148148148153E-2</v>
      </c>
      <c r="K31" s="12">
        <f>'Alternative ICE Paths'!J$31</f>
        <v>1</v>
      </c>
      <c r="M31" t="s">
        <v>80</v>
      </c>
      <c r="N31" s="15">
        <f>'Alternative ICE Paths'!K$13</f>
        <v>3.8657407407407403E-3</v>
      </c>
      <c r="O31" s="12">
        <f>'Alternative ICE Paths'!K$26</f>
        <v>1</v>
      </c>
      <c r="P31" s="3">
        <f>'Alternative ICE Paths'!K$28</f>
        <v>9.9537037037037042E-3</v>
      </c>
      <c r="Q31" s="12">
        <f>'Alternative ICE Paths'!K$31</f>
        <v>1</v>
      </c>
    </row>
    <row r="32" spans="1:17" x14ac:dyDescent="0.3">
      <c r="A32" t="s">
        <v>81</v>
      </c>
      <c r="B32" s="15">
        <f>'Stop Almelo'!I$13</f>
        <v>2.1736111111111112E-2</v>
      </c>
      <c r="C32" s="12">
        <f>'Stop Almelo'!I$26</f>
        <v>0.5</v>
      </c>
      <c r="D32" s="3">
        <f>'Stop Almelo'!I$28</f>
        <v>-3.7962962962962967E-3</v>
      </c>
      <c r="E32" s="12">
        <f>'Stop Almelo'!I$31</f>
        <v>1</v>
      </c>
      <c r="G32" t="s">
        <v>81</v>
      </c>
      <c r="H32" s="15">
        <f>'Stop Almelo'!J$13</f>
        <v>7.1527777777777787E-3</v>
      </c>
      <c r="I32" s="12">
        <f>'Stop Almelo'!J$26</f>
        <v>0.66666666666666663</v>
      </c>
      <c r="J32" s="3">
        <f>'Stop Almelo'!J$28</f>
        <v>2.7546296296296338E-3</v>
      </c>
      <c r="K32" s="12">
        <f>'Stop Almelo'!J$31</f>
        <v>1</v>
      </c>
      <c r="M32" t="s">
        <v>81</v>
      </c>
      <c r="N32" s="15">
        <f>'Stop Almelo'!K$13</f>
        <v>7.8472222222222224E-3</v>
      </c>
      <c r="O32" s="12">
        <f>'Stop Almelo'!K$26</f>
        <v>0.66666666666666663</v>
      </c>
      <c r="P32" s="3">
        <f>'Stop Almelo'!K$28</f>
        <v>2.0601851851851831E-3</v>
      </c>
      <c r="Q32" s="12">
        <f>'Stop Almelo'!K$31</f>
        <v>1</v>
      </c>
    </row>
    <row r="34" spans="1:17" x14ac:dyDescent="0.3">
      <c r="A34" s="1" t="s">
        <v>88</v>
      </c>
      <c r="B34" t="s">
        <v>67</v>
      </c>
      <c r="C34" s="14" t="s">
        <v>68</v>
      </c>
      <c r="D34" s="14" t="s">
        <v>69</v>
      </c>
      <c r="E34" t="s">
        <v>70</v>
      </c>
      <c r="G34" s="1" t="s">
        <v>89</v>
      </c>
      <c r="H34" t="s">
        <v>67</v>
      </c>
      <c r="I34" s="14" t="s">
        <v>68</v>
      </c>
      <c r="J34" s="14" t="s">
        <v>69</v>
      </c>
      <c r="K34" t="s">
        <v>70</v>
      </c>
      <c r="M34" s="1" t="s">
        <v>90</v>
      </c>
      <c r="N34" t="s">
        <v>67</v>
      </c>
      <c r="O34" s="14" t="s">
        <v>68</v>
      </c>
      <c r="P34" s="14" t="s">
        <v>69</v>
      </c>
      <c r="Q34" t="s">
        <v>70</v>
      </c>
    </row>
    <row r="35" spans="1:17" x14ac:dyDescent="0.3">
      <c r="A35" t="s">
        <v>73</v>
      </c>
      <c r="B35" s="10">
        <f>'Cancel Stop Hgl-Odz-Hgl'!L$13</f>
        <v>9.5138888888888894E-3</v>
      </c>
      <c r="C35" s="12">
        <f>'Cancel Stop Hgl-Odz-Hgl'!L$26</f>
        <v>0.83333333333333337</v>
      </c>
      <c r="D35" s="3">
        <f>'Cancel Stop Hgl-Odz-Hgl'!L$28</f>
        <v>1.3657407407407438E-3</v>
      </c>
      <c r="E35" s="12">
        <f>'Cancel Stop Hgl-Odz-Hgl'!L$31</f>
        <v>1</v>
      </c>
      <c r="G35" t="s">
        <v>73</v>
      </c>
      <c r="H35" s="10">
        <f>'Cancel Stop Hgl-Odz-Hgl'!M$13</f>
        <v>1.0787037037037038E-2</v>
      </c>
      <c r="I35" s="12">
        <f>'Cancel Stop Hgl-Odz-Hgl'!M$26</f>
        <v>0.66666666666666663</v>
      </c>
      <c r="J35" s="3">
        <f>'Cancel Stop Hgl-Odz-Hgl'!M$28</f>
        <v>6.712962962962931E-4</v>
      </c>
      <c r="K35" s="12">
        <f>'Cancel Stop Hgl-Odz-Hgl'!M$31</f>
        <v>1</v>
      </c>
      <c r="M35" t="s">
        <v>73</v>
      </c>
      <c r="N35" s="10">
        <f>'Cancel Stop Hgl-Odz-Hgl'!N$13</f>
        <v>1.1481481481481481E-2</v>
      </c>
      <c r="O35" s="12">
        <f>'Cancel Stop Hgl-Odz-Hgl'!N$26</f>
        <v>0.66666666666666663</v>
      </c>
      <c r="P35" s="3">
        <f>'Cancel Stop Hgl-Odz-Hgl'!N$28</f>
        <v>-2.3148148148147141E-5</v>
      </c>
      <c r="Q35" s="12">
        <f>'Cancel Stop Hgl-Odz-Hgl'!N$31</f>
        <v>1</v>
      </c>
    </row>
    <row r="36" spans="1:17" x14ac:dyDescent="0.3">
      <c r="A36" s="13" t="s">
        <v>74</v>
      </c>
      <c r="B36" s="15">
        <f>'ICE Waits'!L$13</f>
        <v>9.4907407407407406E-3</v>
      </c>
      <c r="C36" s="12">
        <f>'ICE Waits'!L$26</f>
        <v>0.66666666666666663</v>
      </c>
      <c r="D36" s="3">
        <f>'ICE Waits'!L$28</f>
        <v>1.3657407407407438E-3</v>
      </c>
      <c r="E36" s="12">
        <f>'ICE Waits'!L$31</f>
        <v>1</v>
      </c>
      <c r="G36" s="13" t="s">
        <v>74</v>
      </c>
      <c r="H36" s="15">
        <f>'ICE Waits'!M$13</f>
        <v>1.0185185185185186E-2</v>
      </c>
      <c r="I36" s="12">
        <f>'ICE Waits'!M$26</f>
        <v>0.66666666666666663</v>
      </c>
      <c r="J36" s="3">
        <f>'ICE Waits'!M$28</f>
        <v>6.712962962962931E-4</v>
      </c>
      <c r="K36" s="12">
        <f>'ICE Waits'!M$31</f>
        <v>1</v>
      </c>
      <c r="M36" s="13" t="s">
        <v>74</v>
      </c>
      <c r="N36" s="15">
        <f>'ICE Waits'!N$13</f>
        <v>1.087962962962963E-2</v>
      </c>
      <c r="O36" s="12">
        <f>'ICE Waits'!N$26</f>
        <v>0.66666666666666663</v>
      </c>
      <c r="P36" s="3">
        <f>'ICE Waits'!N$28</f>
        <v>-2.3148148148147141E-5</v>
      </c>
      <c r="Q36" s="12">
        <f>'ICE Waits'!N$31</f>
        <v>1</v>
      </c>
    </row>
    <row r="37" spans="1:17" x14ac:dyDescent="0.3">
      <c r="A37" t="s">
        <v>75</v>
      </c>
      <c r="B37" s="15">
        <f>'Stop Waits'!L$13</f>
        <v>3.1944444444444442E-2</v>
      </c>
      <c r="C37" s="12">
        <f>'Stop Waits'!L$26</f>
        <v>0.5</v>
      </c>
      <c r="D37" s="3">
        <f>'Stop Waits'!L$28</f>
        <v>1.3657407407407438E-3</v>
      </c>
      <c r="E37" s="12">
        <f>'Stop Waits'!L$31</f>
        <v>0.6</v>
      </c>
      <c r="G37" t="s">
        <v>75</v>
      </c>
      <c r="H37" s="15">
        <f>'Stop Waits'!M$13</f>
        <v>4.342592592592593E-2</v>
      </c>
      <c r="I37" s="12">
        <f>'Stop Waits'!M$26</f>
        <v>0.5</v>
      </c>
      <c r="J37" s="3">
        <f>'Stop Waits'!M$28</f>
        <v>6.712962962962931E-4</v>
      </c>
      <c r="K37" s="12">
        <f>'Stop Waits'!M$31</f>
        <v>0.4</v>
      </c>
      <c r="M37" t="s">
        <v>75</v>
      </c>
      <c r="N37" s="15">
        <f>'Stop Waits'!N$13</f>
        <v>2.9537037037037039E-2</v>
      </c>
      <c r="O37" s="12">
        <f>'Stop Waits'!N$26</f>
        <v>0.5</v>
      </c>
      <c r="P37" s="3">
        <f>'Stop Waits'!N$28</f>
        <v>-2.3148148148147141E-5</v>
      </c>
      <c r="Q37" s="12">
        <f>'Stop Waits'!N$31</f>
        <v>0.6</v>
      </c>
    </row>
    <row r="38" spans="1:17" x14ac:dyDescent="0.3">
      <c r="A38" t="s">
        <v>76</v>
      </c>
      <c r="B38" s="15">
        <f>'Remove stop Hengelo'!L$13</f>
        <v>1.0949074074074075E-2</v>
      </c>
      <c r="C38" s="12">
        <f>'Remove stop Hengelo'!L$26</f>
        <v>0.66666666666666663</v>
      </c>
      <c r="D38" s="3">
        <f>'Remove stop Hengelo'!L$28</f>
        <v>1.3657407407407438E-3</v>
      </c>
      <c r="E38" s="12">
        <f>'Remove stop Hengelo'!L$31</f>
        <v>1</v>
      </c>
      <c r="G38" t="s">
        <v>76</v>
      </c>
      <c r="H38" s="15">
        <f>'Remove stop Hengelo'!M$13</f>
        <v>1.1643518518518518E-2</v>
      </c>
      <c r="I38" s="12">
        <f>'Remove stop Hengelo'!M$26</f>
        <v>0.66666666666666663</v>
      </c>
      <c r="J38" s="3">
        <f>'Remove stop Hengelo'!M$28</f>
        <v>6.712962962962931E-4</v>
      </c>
      <c r="K38" s="12">
        <f>'Remove stop Hengelo'!M$31</f>
        <v>1</v>
      </c>
      <c r="M38" t="s">
        <v>76</v>
      </c>
      <c r="N38" s="15">
        <f>'Remove stop Hengelo'!N$13</f>
        <v>6.2500000000000003E-3</v>
      </c>
      <c r="O38" s="12">
        <f>'Remove stop Hengelo'!N$26</f>
        <v>0.83333333333333337</v>
      </c>
      <c r="P38" s="3">
        <f>'Remove stop Hengelo'!N$28</f>
        <v>-2.3148148148147141E-5</v>
      </c>
      <c r="Q38" s="12">
        <f>'Remove stop Hengelo'!N$31</f>
        <v>1</v>
      </c>
    </row>
    <row r="39" spans="1:17" x14ac:dyDescent="0.3">
      <c r="A39" t="s">
        <v>77</v>
      </c>
      <c r="B39" s="15">
        <f>'Extra platform Hengelo'!L$13</f>
        <v>1.2268518518518519E-2</v>
      </c>
      <c r="C39" s="12">
        <f>'Extra platform Hengelo'!L$26</f>
        <v>0.66666666666666663</v>
      </c>
      <c r="D39" s="3">
        <f>'Extra platform Hengelo'!L$28</f>
        <v>1.3657407407407438E-3</v>
      </c>
      <c r="E39" s="12">
        <f>'Extra platform Hengelo'!L$31</f>
        <v>1</v>
      </c>
      <c r="G39" t="s">
        <v>77</v>
      </c>
      <c r="H39" s="15">
        <f>'Extra platform Hengelo'!M$13</f>
        <v>2.375E-2</v>
      </c>
      <c r="I39" s="12">
        <f>'Extra platform Hengelo'!M$26</f>
        <v>0.66666666666666663</v>
      </c>
      <c r="J39" s="3">
        <f>'Extra platform Hengelo'!M$28</f>
        <v>6.712962962962931E-4</v>
      </c>
      <c r="K39" s="12">
        <f>'Extra platform Hengelo'!M$31</f>
        <v>0.8</v>
      </c>
      <c r="M39" t="s">
        <v>77</v>
      </c>
      <c r="N39" s="15">
        <f>'Extra platform Hengelo'!N$13</f>
        <v>9.8611111111111122E-3</v>
      </c>
      <c r="O39" s="12">
        <f>'Extra platform Hengelo'!N$26</f>
        <v>0.66666666666666663</v>
      </c>
      <c r="P39" s="3">
        <f>'Extra platform Hengelo'!N$28</f>
        <v>-2.3148148148147141E-5</v>
      </c>
      <c r="Q39" s="12">
        <f>'Extra platform Hengelo'!N$31</f>
        <v>1</v>
      </c>
    </row>
    <row r="40" spans="1:17" x14ac:dyDescent="0.3">
      <c r="A40" t="s">
        <v>78</v>
      </c>
      <c r="B40" s="15">
        <f>'Short-turn Hengelo'!L$13</f>
        <v>1.2314814814814815E-2</v>
      </c>
      <c r="C40" s="12">
        <f>'Short-turn Hengelo'!L$26</f>
        <v>0.83333333333333337</v>
      </c>
      <c r="D40" s="3" t="str">
        <f>'Short-turn Hengelo'!L$28</f>
        <v>N/A</v>
      </c>
      <c r="E40" s="12">
        <f>'Short-turn Hengelo'!L$31</f>
        <v>1</v>
      </c>
      <c r="G40" t="s">
        <v>78</v>
      </c>
      <c r="H40" s="15">
        <f>'Short-turn Hengelo'!M$13</f>
        <v>1.2314814814814815E-2</v>
      </c>
      <c r="I40" s="12">
        <f>'Short-turn Hengelo'!M$26</f>
        <v>0.83333333333333337</v>
      </c>
      <c r="J40" s="3" t="str">
        <f>'Short-turn Hengelo'!M$28</f>
        <v>N/A</v>
      </c>
      <c r="K40" s="12">
        <f>'Short-turn Hengelo'!M$31</f>
        <v>1</v>
      </c>
      <c r="M40" t="s">
        <v>78</v>
      </c>
      <c r="N40" s="15">
        <f>'Short-turn Hengelo'!N$13</f>
        <v>1.2314814814814815E-2</v>
      </c>
      <c r="O40" s="12">
        <f>'Short-turn Hengelo'!N$26</f>
        <v>0.83333333333333337</v>
      </c>
      <c r="P40" s="3" t="str">
        <f>'Short-turn Hengelo'!N$28</f>
        <v>N/A</v>
      </c>
      <c r="Q40" s="12">
        <f>'Short-turn Hengelo'!N$31</f>
        <v>1</v>
      </c>
    </row>
    <row r="41" spans="1:17" x14ac:dyDescent="0.3">
      <c r="A41" t="s">
        <v>79</v>
      </c>
      <c r="B41" s="15">
        <f>'Overtake Rijssen'!L$13</f>
        <v>1.9467592592592592E-2</v>
      </c>
      <c r="C41" s="12">
        <f>'Overtake Rijssen'!L$26</f>
        <v>0.66666666666666663</v>
      </c>
      <c r="D41" s="3">
        <f>'Overtake Rijssen'!L$28</f>
        <v>-5.0925925925925618E-4</v>
      </c>
      <c r="E41" s="12">
        <f>'Overtake Rijssen'!L$31</f>
        <v>1</v>
      </c>
      <c r="G41" t="s">
        <v>79</v>
      </c>
      <c r="H41" s="15">
        <f>'Overtake Rijssen'!M$13</f>
        <v>2.0023148148148148E-2</v>
      </c>
      <c r="I41" s="12">
        <f>'Overtake Rijssen'!M$26</f>
        <v>0.5</v>
      </c>
      <c r="J41" s="3">
        <f>'Overtake Rijssen'!M$28</f>
        <v>-1.2037037037037068E-3</v>
      </c>
      <c r="K41" s="12">
        <f>'Overtake Rijssen'!M$31</f>
        <v>1</v>
      </c>
      <c r="M41" t="s">
        <v>79</v>
      </c>
      <c r="N41" s="15">
        <f>'Overtake Rijssen'!N$13</f>
        <v>2.0578703703703703E-2</v>
      </c>
      <c r="O41" s="12">
        <f>'Overtake Rijssen'!N$26</f>
        <v>0.5</v>
      </c>
      <c r="P41" s="3">
        <f>'Overtake Rijssen'!N$28</f>
        <v>-1.8981481481481471E-3</v>
      </c>
      <c r="Q41" s="12">
        <f>'Overtake Rijssen'!N$31</f>
        <v>1</v>
      </c>
    </row>
    <row r="42" spans="1:17" x14ac:dyDescent="0.3">
      <c r="A42" t="s">
        <v>80</v>
      </c>
      <c r="B42" s="15">
        <f>'Alternative ICE Paths'!L$13</f>
        <v>3.8657407407407403E-3</v>
      </c>
      <c r="C42" s="12">
        <f>'Alternative ICE Paths'!L$26</f>
        <v>1</v>
      </c>
      <c r="D42" s="3">
        <f>'Alternative ICE Paths'!L$28</f>
        <v>9.2592592592592639E-3</v>
      </c>
      <c r="E42" s="12">
        <f>'Alternative ICE Paths'!L$31</f>
        <v>1</v>
      </c>
      <c r="G42" t="s">
        <v>80</v>
      </c>
      <c r="H42" s="15">
        <f>'Alternative ICE Paths'!M$13</f>
        <v>3.8657407407407403E-3</v>
      </c>
      <c r="I42" s="12">
        <f>'Alternative ICE Paths'!M$26</f>
        <v>1</v>
      </c>
      <c r="J42" s="3">
        <f>'Alternative ICE Paths'!M$28</f>
        <v>8.5648148148148133E-3</v>
      </c>
      <c r="K42" s="12">
        <f>'Alternative ICE Paths'!M$31</f>
        <v>1</v>
      </c>
      <c r="M42" t="s">
        <v>80</v>
      </c>
      <c r="N42" s="15">
        <f>'Alternative ICE Paths'!N$13</f>
        <v>3.8657407407407403E-3</v>
      </c>
      <c r="O42" s="12">
        <f>'Alternative ICE Paths'!N$26</f>
        <v>1</v>
      </c>
      <c r="P42" s="3">
        <f>'Alternative ICE Paths'!N$28</f>
        <v>7.8703703703703731E-3</v>
      </c>
      <c r="Q42" s="12">
        <f>'Alternative ICE Paths'!N$31</f>
        <v>1</v>
      </c>
    </row>
    <row r="43" spans="1:17" x14ac:dyDescent="0.3">
      <c r="A43" t="s">
        <v>81</v>
      </c>
      <c r="B43" s="15">
        <f>'Stop Almelo'!L$13</f>
        <v>1.0925925925925926E-2</v>
      </c>
      <c r="C43" s="12">
        <f>'Stop Almelo'!L$26</f>
        <v>0.66666666666666663</v>
      </c>
      <c r="D43" s="3">
        <f>'Stop Almelo'!L$28</f>
        <v>1.3657407407407438E-3</v>
      </c>
      <c r="E43" s="12">
        <f>'Stop Almelo'!L$31</f>
        <v>1</v>
      </c>
      <c r="G43" t="s">
        <v>81</v>
      </c>
      <c r="H43" s="15">
        <f>'Stop Almelo'!M$13</f>
        <v>1.1620370370370371E-2</v>
      </c>
      <c r="I43" s="12">
        <f>'Stop Almelo'!M$26</f>
        <v>0.66666666666666663</v>
      </c>
      <c r="J43" s="3">
        <f>'Stop Almelo'!M$28</f>
        <v>6.712962962962931E-4</v>
      </c>
      <c r="K43" s="12">
        <f>'Stop Almelo'!M$31</f>
        <v>1</v>
      </c>
      <c r="M43" t="s">
        <v>81</v>
      </c>
      <c r="N43" s="15">
        <f>'Stop Almelo'!N$13</f>
        <v>1.0162037037037037E-2</v>
      </c>
      <c r="O43" s="12">
        <f>'Stop Almelo'!N$26</f>
        <v>0.66666666666666663</v>
      </c>
      <c r="P43" s="3">
        <f>'Stop Almelo'!N$28</f>
        <v>-2.3148148148147141E-5</v>
      </c>
      <c r="Q43" s="12">
        <f>'Stop Almelo'!N$31</f>
        <v>1</v>
      </c>
    </row>
    <row r="45" spans="1:17" x14ac:dyDescent="0.3">
      <c r="A45" s="1" t="s">
        <v>91</v>
      </c>
      <c r="B45" t="s">
        <v>67</v>
      </c>
      <c r="C45" s="14" t="s">
        <v>68</v>
      </c>
      <c r="D45" s="14" t="s">
        <v>69</v>
      </c>
      <c r="E45" t="s">
        <v>70</v>
      </c>
      <c r="G45" s="1" t="s">
        <v>92</v>
      </c>
      <c r="H45" t="s">
        <v>67</v>
      </c>
      <c r="I45" s="14" t="s">
        <v>68</v>
      </c>
      <c r="J45" s="14" t="s">
        <v>69</v>
      </c>
      <c r="K45" t="s">
        <v>70</v>
      </c>
      <c r="M45" s="1" t="s">
        <v>93</v>
      </c>
      <c r="N45" t="s">
        <v>67</v>
      </c>
      <c r="O45" s="14" t="s">
        <v>68</v>
      </c>
      <c r="P45" s="14" t="s">
        <v>69</v>
      </c>
      <c r="Q45" t="s">
        <v>70</v>
      </c>
    </row>
    <row r="46" spans="1:17" x14ac:dyDescent="0.3">
      <c r="A46" t="s">
        <v>73</v>
      </c>
      <c r="B46" s="10">
        <f>'Cancel Stop Hgl-Odz-Hgl'!O$13</f>
        <v>1.2175925925925927E-2</v>
      </c>
      <c r="C46" s="12">
        <f>'Cancel Stop Hgl-Odz-Hgl'!O$26</f>
        <v>0.66666666666666663</v>
      </c>
      <c r="D46" s="3">
        <f>'Cancel Stop Hgl-Odz-Hgl'!O$28</f>
        <v>-7.1759259259262728E-4</v>
      </c>
      <c r="E46" s="12">
        <f>'Cancel Stop Hgl-Odz-Hgl'!O$31</f>
        <v>1</v>
      </c>
      <c r="G46" t="s">
        <v>73</v>
      </c>
      <c r="H46" s="10">
        <f>'Cancel Stop Hgl-Odz-Hgl'!P$13</f>
        <v>5.4861111111111109E-3</v>
      </c>
      <c r="I46" s="12">
        <f>'Cancel Stop Hgl-Odz-Hgl'!P$26</f>
        <v>1</v>
      </c>
      <c r="J46" s="3">
        <f>'Cancel Stop Hgl-Odz-Hgl'!P$28</f>
        <v>3.7037037037037056E-3</v>
      </c>
      <c r="K46" s="12">
        <f>'Cancel Stop Hgl-Odz-Hgl'!P$31</f>
        <v>1</v>
      </c>
      <c r="M46" t="s">
        <v>73</v>
      </c>
      <c r="N46" s="10">
        <f>'Cancel Stop Hgl-Odz-Hgl'!Q$13</f>
        <v>5.4861111111111109E-3</v>
      </c>
      <c r="O46" s="12">
        <f>'Cancel Stop Hgl-Odz-Hgl'!Q$26</f>
        <v>1</v>
      </c>
      <c r="P46" s="3">
        <f>'Cancel Stop Hgl-Odz-Hgl'!Q$28</f>
        <v>2.3148148148148182E-4</v>
      </c>
      <c r="Q46" s="12">
        <f>'Cancel Stop Hgl-Odz-Hgl'!Q$31</f>
        <v>1</v>
      </c>
    </row>
    <row r="47" spans="1:17" x14ac:dyDescent="0.3">
      <c r="A47" s="13" t="s">
        <v>74</v>
      </c>
      <c r="B47" s="15">
        <f>'ICE Waits'!O$13</f>
        <v>1.2314814814814815E-2</v>
      </c>
      <c r="C47" s="12">
        <f>'ICE Waits'!O$26</f>
        <v>0.83333333333333337</v>
      </c>
      <c r="D47" s="3">
        <f>'ICE Waits'!O$28</f>
        <v>-8.7962962962966421E-4</v>
      </c>
      <c r="E47" s="12">
        <f>'ICE Waits'!O$31</f>
        <v>1</v>
      </c>
      <c r="G47" s="13" t="s">
        <v>74</v>
      </c>
      <c r="H47" s="15">
        <f>'ICE Waits'!P$13</f>
        <v>3.8657407407407403E-3</v>
      </c>
      <c r="I47" s="12">
        <f>'ICE Waits'!P$26</f>
        <v>1</v>
      </c>
      <c r="J47" s="3">
        <f>'ICE Waits'!P$28</f>
        <v>3.7037037037037056E-3</v>
      </c>
      <c r="K47" s="12">
        <f>'ICE Waits'!P$31</f>
        <v>1</v>
      </c>
      <c r="M47" s="13" t="s">
        <v>74</v>
      </c>
      <c r="N47" s="15">
        <f>'ICE Waits'!Q$13</f>
        <v>3.8657407407407403E-3</v>
      </c>
      <c r="O47" s="12">
        <f>'ICE Waits'!Q$26</f>
        <v>1</v>
      </c>
      <c r="P47" s="3">
        <f>'ICE Waits'!Q$28</f>
        <v>2.3148148148148182E-4</v>
      </c>
      <c r="Q47" s="12">
        <f>'ICE Waits'!Q$31</f>
        <v>1</v>
      </c>
    </row>
    <row r="48" spans="1:17" x14ac:dyDescent="0.3">
      <c r="A48" t="s">
        <v>75</v>
      </c>
      <c r="B48" s="15">
        <f>'Stop Waits'!O$13</f>
        <v>2.4351851851851854E-2</v>
      </c>
      <c r="C48" s="12">
        <f>'Stop Waits'!O$26</f>
        <v>0.66666666666666663</v>
      </c>
      <c r="D48" s="3">
        <f>'Stop Waits'!O$28</f>
        <v>-7.1759259259262728E-4</v>
      </c>
      <c r="E48" s="12">
        <f>'Stop Waits'!O$31</f>
        <v>0.6</v>
      </c>
      <c r="G48" t="s">
        <v>75</v>
      </c>
      <c r="H48" s="15">
        <f>'Stop Waits'!P$13</f>
        <v>2.3541666666666669E-2</v>
      </c>
      <c r="I48" s="12">
        <f>'Stop Waits'!P$26</f>
        <v>0.83333333333333337</v>
      </c>
      <c r="J48" s="3">
        <f>'Stop Waits'!P$28</f>
        <v>3.7037037037037056E-3</v>
      </c>
      <c r="K48" s="12">
        <f>'Stop Waits'!P$31</f>
        <v>0.6</v>
      </c>
      <c r="M48" t="s">
        <v>75</v>
      </c>
      <c r="N48" s="15">
        <f>'Stop Waits'!Q$13</f>
        <v>2.3541666666666669E-2</v>
      </c>
      <c r="O48" s="12">
        <f>'Stop Waits'!Q$26</f>
        <v>0.83333333333333337</v>
      </c>
      <c r="P48" s="3">
        <f>'Stop Waits'!Q$28</f>
        <v>2.3148148148148182E-4</v>
      </c>
      <c r="Q48" s="12">
        <f>'Stop Waits'!Q$31</f>
        <v>0.6</v>
      </c>
    </row>
    <row r="49" spans="1:17" x14ac:dyDescent="0.3">
      <c r="A49" t="s">
        <v>76</v>
      </c>
      <c r="B49" s="15">
        <f>'Remove stop Hengelo'!O$13</f>
        <v>6.851851851851852E-3</v>
      </c>
      <c r="C49" s="12">
        <f>'Remove stop Hengelo'!O$26</f>
        <v>0.66666666666666663</v>
      </c>
      <c r="D49" s="3">
        <f>'Remove stop Hengelo'!O$28</f>
        <v>-7.1759259259262728E-4</v>
      </c>
      <c r="E49" s="12">
        <f>'Remove stop Hengelo'!O$31</f>
        <v>1</v>
      </c>
      <c r="G49" t="s">
        <v>76</v>
      </c>
      <c r="H49" s="15">
        <f>'Remove stop Hengelo'!P$13</f>
        <v>8.518518518518519E-3</v>
      </c>
      <c r="I49" s="12">
        <f>'Remove stop Hengelo'!P$26</f>
        <v>0.83333333333333337</v>
      </c>
      <c r="J49" s="3">
        <f>'Remove stop Hengelo'!P$28</f>
        <v>-2.4537037037037027E-3</v>
      </c>
      <c r="K49" s="12">
        <f>'Remove stop Hengelo'!P$31</f>
        <v>1</v>
      </c>
      <c r="M49" t="s">
        <v>76</v>
      </c>
      <c r="N49" s="15">
        <f>'Remove stop Hengelo'!Q$13</f>
        <v>3.8657407407407403E-3</v>
      </c>
      <c r="O49" s="12">
        <f>'Remove stop Hengelo'!Q$26</f>
        <v>1</v>
      </c>
      <c r="P49" s="3">
        <f>'Remove stop Hengelo'!Q$28</f>
        <v>2.3148148148148182E-4</v>
      </c>
      <c r="Q49" s="12">
        <f>'Remove stop Hengelo'!Q$31</f>
        <v>1</v>
      </c>
    </row>
    <row r="50" spans="1:17" x14ac:dyDescent="0.3">
      <c r="A50" t="s">
        <v>77</v>
      </c>
      <c r="B50" s="15">
        <f>'Extra platform Hengelo'!O$13</f>
        <v>4.6759259259259263E-3</v>
      </c>
      <c r="C50" s="12">
        <f>'Extra platform Hengelo'!O$26</f>
        <v>0.83333333333333337</v>
      </c>
      <c r="D50" s="3">
        <f>'Extra platform Hengelo'!O$28</f>
        <v>-7.1759259259262728E-4</v>
      </c>
      <c r="E50" s="12">
        <f>'Extra platform Hengelo'!O$31</f>
        <v>1</v>
      </c>
      <c r="G50" t="s">
        <v>77</v>
      </c>
      <c r="H50" s="15">
        <f>'Extra platform Hengelo'!P$13</f>
        <v>3.8657407407407403E-3</v>
      </c>
      <c r="I50" s="12">
        <f>'Extra platform Hengelo'!P$26</f>
        <v>1</v>
      </c>
      <c r="J50" s="3">
        <f>'Extra platform Hengelo'!P$28</f>
        <v>3.7037037037037056E-3</v>
      </c>
      <c r="K50" s="12">
        <f>'Extra platform Hengelo'!P$31</f>
        <v>1</v>
      </c>
      <c r="M50" t="s">
        <v>77</v>
      </c>
      <c r="N50" s="15">
        <f>'Extra platform Hengelo'!Q$13</f>
        <v>3.8657407407407403E-3</v>
      </c>
      <c r="O50" s="12">
        <f>'Extra platform Hengelo'!Q$26</f>
        <v>1</v>
      </c>
      <c r="P50" s="3">
        <f>'Extra platform Hengelo'!Q$28</f>
        <v>2.3148148148148182E-4</v>
      </c>
      <c r="Q50" s="12">
        <f>'Extra platform Hengelo'!Q$31</f>
        <v>1</v>
      </c>
    </row>
    <row r="51" spans="1:17" x14ac:dyDescent="0.3">
      <c r="A51" t="s">
        <v>78</v>
      </c>
      <c r="B51" s="15">
        <f>'Short-turn Hengelo'!O$13</f>
        <v>1.2314814814814815E-2</v>
      </c>
      <c r="C51" s="12">
        <f>'Short-turn Hengelo'!O$26</f>
        <v>0.83333333333333337</v>
      </c>
      <c r="D51" s="3" t="str">
        <f>'Short-turn Hengelo'!O$28</f>
        <v>N/A</v>
      </c>
      <c r="E51" s="12">
        <f>'Short-turn Hengelo'!O$31</f>
        <v>1</v>
      </c>
      <c r="G51" t="s">
        <v>78</v>
      </c>
      <c r="H51" s="15">
        <f>'Short-turn Hengelo'!P$13</f>
        <v>3.8657407407407403E-3</v>
      </c>
      <c r="I51" s="12">
        <f>'Short-turn Hengelo'!P$26</f>
        <v>1</v>
      </c>
      <c r="J51" s="3" t="str">
        <f>'Short-turn Hengelo'!P$28</f>
        <v>N/A</v>
      </c>
      <c r="K51" s="12">
        <f>'Short-turn Hengelo'!P$31</f>
        <v>1</v>
      </c>
      <c r="M51" t="s">
        <v>78</v>
      </c>
      <c r="N51" s="15">
        <f>'Short-turn Hengelo'!Q$13</f>
        <v>3.8657407407407403E-3</v>
      </c>
      <c r="O51" s="12">
        <f>'Short-turn Hengelo'!Q$26</f>
        <v>1</v>
      </c>
      <c r="P51" s="3" t="str">
        <f>'Short-turn Hengelo'!Q$28</f>
        <v>N/A</v>
      </c>
      <c r="Q51" s="12">
        <f>'Short-turn Hengelo'!Q$31</f>
        <v>1</v>
      </c>
    </row>
    <row r="52" spans="1:17" x14ac:dyDescent="0.3">
      <c r="A52" t="s">
        <v>79</v>
      </c>
      <c r="B52" s="15">
        <f>'Overtake Rijssen'!O$13</f>
        <v>2.1736111111111112E-2</v>
      </c>
      <c r="C52" s="12">
        <f>'Overtake Rijssen'!O$26</f>
        <v>0.5</v>
      </c>
      <c r="D52" s="3">
        <f>'Overtake Rijssen'!O$28</f>
        <v>-2.5925925925926272E-3</v>
      </c>
      <c r="E52" s="12">
        <f>'Overtake Rijssen'!O$31</f>
        <v>1</v>
      </c>
      <c r="G52" t="s">
        <v>79</v>
      </c>
      <c r="H52" s="15">
        <f>'Overtake Rijssen'!P$13</f>
        <v>1.5787037037037037E-2</v>
      </c>
      <c r="I52" s="12">
        <f>'Overtake Rijssen'!P$26</f>
        <v>0.83333333333333337</v>
      </c>
      <c r="J52" s="3">
        <f>'Overtake Rijssen'!P$28</f>
        <v>3.5879629629629629E-3</v>
      </c>
      <c r="K52" s="12">
        <f>'Overtake Rijssen'!P$31</f>
        <v>1</v>
      </c>
      <c r="M52" t="s">
        <v>79</v>
      </c>
      <c r="N52" s="15">
        <f>'Overtake Rijssen'!Q$13</f>
        <v>2.3541666666666666E-2</v>
      </c>
      <c r="O52" s="12">
        <f>'Overtake Rijssen'!Q$26</f>
        <v>0.83333333333333337</v>
      </c>
      <c r="P52" s="3">
        <f>'Overtake Rijssen'!Q$28</f>
        <v>8.7962962962962951E-4</v>
      </c>
      <c r="Q52" s="12">
        <f>'Overtake Rijssen'!Q$31</f>
        <v>1</v>
      </c>
    </row>
    <row r="53" spans="1:17" x14ac:dyDescent="0.3">
      <c r="A53" t="s">
        <v>80</v>
      </c>
      <c r="B53" s="15">
        <f>'Alternative ICE Paths'!O$13</f>
        <v>3.8657407407407403E-3</v>
      </c>
      <c r="C53" s="12">
        <f>'Alternative ICE Paths'!O$26</f>
        <v>1</v>
      </c>
      <c r="D53" s="3">
        <f>'Alternative ICE Paths'!O$28</f>
        <v>7.1759259259258929E-3</v>
      </c>
      <c r="E53" s="12">
        <f>'Alternative ICE Paths'!O$31</f>
        <v>1</v>
      </c>
      <c r="G53" t="s">
        <v>80</v>
      </c>
      <c r="H53" s="15">
        <f>'Alternative ICE Paths'!P$13</f>
        <v>3.8657407407407403E-3</v>
      </c>
      <c r="I53" s="12">
        <f>'Alternative ICE Paths'!P$26</f>
        <v>1</v>
      </c>
      <c r="J53" s="3">
        <f>'Alternative ICE Paths'!P$28</f>
        <v>3.7037037037037056E-3</v>
      </c>
      <c r="K53" s="12">
        <f>'Alternative ICE Paths'!P$31</f>
        <v>1</v>
      </c>
      <c r="M53" t="s">
        <v>80</v>
      </c>
      <c r="N53" s="15">
        <f>'Alternative ICE Paths'!Q$13</f>
        <v>3.8657407407407403E-3</v>
      </c>
      <c r="O53" s="12">
        <f>'Alternative ICE Paths'!Q$26</f>
        <v>1</v>
      </c>
      <c r="P53" s="3">
        <f>'Alternative ICE Paths'!Q$28</f>
        <v>2.3148148148148182E-4</v>
      </c>
      <c r="Q53" s="12">
        <f>'Alternative ICE Paths'!Q$31</f>
        <v>1</v>
      </c>
    </row>
    <row r="54" spans="1:17" x14ac:dyDescent="0.3">
      <c r="A54" t="s">
        <v>81</v>
      </c>
      <c r="B54" s="15">
        <f>'Stop Almelo'!O$13</f>
        <v>1.0763888888888889E-2</v>
      </c>
      <c r="C54" s="12">
        <f>'Stop Almelo'!O$26</f>
        <v>0.66666666666666663</v>
      </c>
      <c r="D54" s="3">
        <f>'Stop Almelo'!O$28</f>
        <v>-7.1759259259262728E-4</v>
      </c>
      <c r="E54" s="12">
        <f>'Stop Almelo'!O$31</f>
        <v>1</v>
      </c>
      <c r="G54" t="s">
        <v>81</v>
      </c>
      <c r="H54" s="15">
        <f>'Stop Almelo'!P$13</f>
        <v>8.425925925925927E-3</v>
      </c>
      <c r="I54" s="12">
        <f>'Stop Almelo'!P$26</f>
        <v>0.83333333333333337</v>
      </c>
      <c r="J54" s="3">
        <f>'Stop Almelo'!P$28</f>
        <v>-2.5694444444444436E-3</v>
      </c>
      <c r="K54" s="12">
        <f>'Stop Almelo'!P$31</f>
        <v>1</v>
      </c>
      <c r="M54" t="s">
        <v>81</v>
      </c>
      <c r="N54" s="15">
        <f>'Stop Almelo'!Q$13</f>
        <v>3.8657407407407403E-3</v>
      </c>
      <c r="O54" s="12">
        <f>'Stop Almelo'!Q$26</f>
        <v>1</v>
      </c>
      <c r="P54" s="3">
        <f>'Stop Almelo'!Q$28</f>
        <v>2.3148148148148182E-4</v>
      </c>
      <c r="Q54" s="12">
        <f>'Stop Almelo'!Q$31</f>
        <v>1</v>
      </c>
    </row>
    <row r="56" spans="1:17" x14ac:dyDescent="0.3">
      <c r="A56" s="1" t="s">
        <v>94</v>
      </c>
      <c r="B56" t="s">
        <v>67</v>
      </c>
      <c r="C56" s="14" t="s">
        <v>68</v>
      </c>
      <c r="D56" s="14" t="s">
        <v>69</v>
      </c>
      <c r="E56" t="s">
        <v>70</v>
      </c>
      <c r="F56" t="s">
        <v>95</v>
      </c>
      <c r="G56" t="s">
        <v>96</v>
      </c>
      <c r="H56" t="s">
        <v>97</v>
      </c>
    </row>
    <row r="57" spans="1:17" x14ac:dyDescent="0.3">
      <c r="A57" t="s">
        <v>73</v>
      </c>
      <c r="B57" s="10">
        <f t="shared" ref="B57:B65" si="0">B2+H2+N2+B13+H13+N13+B24+H24+N24+B35+H35+N35+B46+H46+N46</f>
        <v>0.18909722222222222</v>
      </c>
      <c r="C57" s="12">
        <f>AVERAGE(C2,I2,O2,C13,I13,O13,C24,I24,O24,C35,I35,O35,C46,I46,O46)</f>
        <v>0.68888888888888888</v>
      </c>
      <c r="D57" s="3">
        <f>AVERAGE(D2,J2,P2,D13,J13,P13,D24,J24,P24,D35,J35,P35,D46,J46,P46)</f>
        <v>-9.2592592592592748E-4</v>
      </c>
      <c r="E57" s="12">
        <f>AVERAGE(E2,K2,Q2,E13,K13,Q13,E24,K24,Q24,E35,K35,Q35,E46,K46,Q46)</f>
        <v>0.93333333333333335</v>
      </c>
      <c r="F57">
        <v>0</v>
      </c>
      <c r="G57">
        <v>4</v>
      </c>
      <c r="H57" s="3">
        <v>6.2500000000000003E-3</v>
      </c>
    </row>
    <row r="58" spans="1:17" x14ac:dyDescent="0.3">
      <c r="A58" s="13" t="s">
        <v>74</v>
      </c>
      <c r="B58" s="15">
        <f t="shared" si="0"/>
        <v>0.14324074074074075</v>
      </c>
      <c r="C58" s="12">
        <f t="shared" ref="C58:C65" si="1">AVERAGE(C3,I3,O3,C14,I14,O14,C25,I25,O25,C36,I36,O36,C47,I47,O47)</f>
        <v>0.74444444444444458</v>
      </c>
      <c r="D58" s="3">
        <f t="shared" ref="D58:D65" si="2">AVERAGE(D3,J3,P3,D14,J14,P14,D25,J25,P25,D36,J36,P36,D47,J47,P47)</f>
        <v>1.3333333333333316E-3</v>
      </c>
      <c r="E58" s="12">
        <f t="shared" ref="E58:E65" si="3">AVERAGE(E3,K3,Q3,E14,K14,Q14,E25,K25,Q25,E36,K36,Q36,E47,K47,Q47)</f>
        <v>0.88</v>
      </c>
      <c r="F58">
        <v>0</v>
      </c>
      <c r="G58">
        <v>0</v>
      </c>
      <c r="H58" s="3">
        <v>3.472222222222222E-3</v>
      </c>
    </row>
    <row r="59" spans="1:17" x14ac:dyDescent="0.3">
      <c r="A59" t="s">
        <v>75</v>
      </c>
      <c r="B59" s="15">
        <f t="shared" si="0"/>
        <v>0.33805555555555561</v>
      </c>
      <c r="C59" s="12">
        <f t="shared" si="1"/>
        <v>0.53333333333333333</v>
      </c>
      <c r="D59" s="3">
        <f t="shared" si="2"/>
        <v>-8.9506172839506329E-4</v>
      </c>
      <c r="E59" s="12">
        <f t="shared" si="3"/>
        <v>0.51999999999999991</v>
      </c>
      <c r="F59">
        <v>0</v>
      </c>
      <c r="G59">
        <v>0</v>
      </c>
      <c r="H59" s="3">
        <v>6.2500000000000003E-3</v>
      </c>
    </row>
    <row r="60" spans="1:17" x14ac:dyDescent="0.3">
      <c r="A60" t="s">
        <v>76</v>
      </c>
      <c r="B60" s="15">
        <f t="shared" si="0"/>
        <v>0.13738425925925929</v>
      </c>
      <c r="C60" s="12">
        <f t="shared" si="1"/>
        <v>0.72222222222222221</v>
      </c>
      <c r="D60" s="3">
        <f t="shared" si="2"/>
        <v>-1.5648148148148164E-3</v>
      </c>
      <c r="E60" s="12">
        <f t="shared" si="3"/>
        <v>0.88</v>
      </c>
      <c r="F60">
        <v>1</v>
      </c>
      <c r="G60">
        <v>0</v>
      </c>
      <c r="H60" s="3">
        <v>6.2500000000000003E-3</v>
      </c>
    </row>
    <row r="61" spans="1:17" x14ac:dyDescent="0.3">
      <c r="A61" t="s">
        <v>77</v>
      </c>
      <c r="B61" s="15">
        <f t="shared" si="0"/>
        <v>0.1799074074074074</v>
      </c>
      <c r="C61" s="12">
        <f t="shared" si="1"/>
        <v>0.66666666666666674</v>
      </c>
      <c r="D61" s="3">
        <f t="shared" si="2"/>
        <v>-8.4104938271605098E-4</v>
      </c>
      <c r="E61" s="12">
        <f t="shared" si="3"/>
        <v>0.81333333333333335</v>
      </c>
      <c r="F61">
        <v>0</v>
      </c>
      <c r="G61">
        <v>0</v>
      </c>
      <c r="H61" s="3">
        <v>6.2500000000000003E-3</v>
      </c>
    </row>
    <row r="62" spans="1:17" x14ac:dyDescent="0.3">
      <c r="A62" t="s">
        <v>78</v>
      </c>
      <c r="B62" s="15">
        <f t="shared" si="0"/>
        <v>0.13421296296296301</v>
      </c>
      <c r="C62" s="12">
        <f t="shared" si="1"/>
        <v>0.87777777777777788</v>
      </c>
      <c r="D62" s="3" t="s">
        <v>65</v>
      </c>
      <c r="E62" s="12">
        <f t="shared" si="3"/>
        <v>0.89333333333333331</v>
      </c>
      <c r="F62">
        <v>10</v>
      </c>
      <c r="G62">
        <v>0</v>
      </c>
      <c r="H62" s="3">
        <v>0</v>
      </c>
    </row>
    <row r="63" spans="1:17" x14ac:dyDescent="0.3">
      <c r="A63" t="s">
        <v>79</v>
      </c>
      <c r="B63" s="15">
        <f t="shared" si="0"/>
        <v>0.30784722222222222</v>
      </c>
      <c r="C63" s="12">
        <f t="shared" si="1"/>
        <v>0.6</v>
      </c>
      <c r="D63" s="3">
        <f t="shared" si="2"/>
        <v>-4.1358024691358212E-4</v>
      </c>
      <c r="E63" s="12">
        <f t="shared" si="3"/>
        <v>0.84</v>
      </c>
      <c r="F63">
        <v>0</v>
      </c>
      <c r="G63">
        <v>0</v>
      </c>
      <c r="H63" s="3">
        <v>4.1666666666666666E-3</v>
      </c>
    </row>
    <row r="64" spans="1:17" x14ac:dyDescent="0.3">
      <c r="A64" t="s">
        <v>80</v>
      </c>
      <c r="B64" s="15">
        <f t="shared" si="0"/>
        <v>5.7986111111111092E-2</v>
      </c>
      <c r="C64" s="12">
        <f t="shared" si="1"/>
        <v>1</v>
      </c>
      <c r="D64" s="3">
        <f t="shared" si="2"/>
        <v>1.0092592592592591E-2</v>
      </c>
      <c r="E64" s="12">
        <f t="shared" si="3"/>
        <v>1</v>
      </c>
      <c r="F64">
        <v>0</v>
      </c>
      <c r="G64">
        <v>0</v>
      </c>
      <c r="H64" s="3">
        <v>0</v>
      </c>
    </row>
    <row r="65" spans="1:12" x14ac:dyDescent="0.3">
      <c r="A65" t="s">
        <v>81</v>
      </c>
      <c r="B65" s="15">
        <f t="shared" si="0"/>
        <v>0.17932870370370368</v>
      </c>
      <c r="C65" s="12">
        <f t="shared" si="1"/>
        <v>0.64444444444444449</v>
      </c>
      <c r="D65" s="3">
        <f t="shared" si="2"/>
        <v>-1.2283950617283969E-3</v>
      </c>
      <c r="E65" s="12">
        <f t="shared" si="3"/>
        <v>0.84</v>
      </c>
      <c r="F65">
        <v>0.5</v>
      </c>
      <c r="G65">
        <v>0</v>
      </c>
      <c r="H65" s="3">
        <v>6.2500000000000003E-3</v>
      </c>
    </row>
    <row r="67" spans="1:12" x14ac:dyDescent="0.3">
      <c r="A67" s="1" t="s">
        <v>98</v>
      </c>
      <c r="B67" t="s">
        <v>99</v>
      </c>
      <c r="C67" t="s">
        <v>100</v>
      </c>
      <c r="D67" t="s">
        <v>101</v>
      </c>
      <c r="E67" t="s">
        <v>102</v>
      </c>
      <c r="F67" t="s">
        <v>103</v>
      </c>
      <c r="G67" t="s">
        <v>104</v>
      </c>
      <c r="H67" t="s">
        <v>105</v>
      </c>
      <c r="I67" t="s">
        <v>106</v>
      </c>
      <c r="J67" t="s">
        <v>107</v>
      </c>
      <c r="K67" t="s">
        <v>108</v>
      </c>
      <c r="L67" t="s">
        <v>109</v>
      </c>
    </row>
    <row r="68" spans="1:12" x14ac:dyDescent="0.3">
      <c r="A68" t="s">
        <v>73</v>
      </c>
      <c r="B68" s="32">
        <f t="shared" ref="B68:B76" si="4">4*(H57-$H$64)/($H$60-$H$64)+1</f>
        <v>5</v>
      </c>
      <c r="C68" s="32">
        <f>4*(D57-$D$64)/($D$60-$D$64)+1</f>
        <v>4.7807783955520256</v>
      </c>
      <c r="D68" s="32">
        <f>4*(C57-$C$59)/($C$64-$C$59)+1</f>
        <v>2.333333333333333</v>
      </c>
      <c r="E68" s="32">
        <f>4*(E57-$E$59)/($E$64-$E$59)+1</f>
        <v>4.4444444444444446</v>
      </c>
      <c r="F68" s="32">
        <f>5-4*(B57-MIN($B$57:$B$65))/(MAX($B$57:$B$65)-MIN($B$57:$B$65))</f>
        <v>3.1274485494668989</v>
      </c>
      <c r="G68" s="32">
        <f>5-(4*(F57-MIN($F$57:$F$65))/(MAX($F$57:$F$65)-MIN($F$57:$F$65)))</f>
        <v>5</v>
      </c>
      <c r="H68" s="32">
        <f>5-(4*(G57-$G$58)/($G$57-$G$58))</f>
        <v>1</v>
      </c>
      <c r="I68">
        <v>5</v>
      </c>
      <c r="J68" s="31">
        <f t="shared" ref="J68:J76" si="5">AVERAGE(B68:I68)</f>
        <v>3.8357505903495879</v>
      </c>
      <c r="K68" s="31">
        <f>(2*(B68+C68+G68)+D68+E68+F68+H68+I68)/11</f>
        <v>4.1333439198498843</v>
      </c>
      <c r="L68" s="31">
        <f>(2*(D68+E68+F68+H68)+B68+C68+G68+I68)/12</f>
        <v>3.4659359208367815</v>
      </c>
    </row>
    <row r="69" spans="1:12" x14ac:dyDescent="0.3">
      <c r="A69" s="13" t="s">
        <v>74</v>
      </c>
      <c r="B69" s="32">
        <f t="shared" si="4"/>
        <v>3.2222222222222219</v>
      </c>
      <c r="C69" s="32">
        <f t="shared" ref="C69:C76" si="6">4*(D58-$D$64)/($D$60-$D$64)+1</f>
        <v>4.005559968228753</v>
      </c>
      <c r="D69" s="32">
        <f t="shared" ref="D69:D76" si="7">4*(C58-$C$59)/($C$64-$C$59)+1</f>
        <v>2.8095238095238106</v>
      </c>
      <c r="E69" s="32">
        <f t="shared" ref="E69:E76" si="8">4*(E58-$E$59)/($E$64-$E$59)+1</f>
        <v>4</v>
      </c>
      <c r="F69" s="32">
        <f t="shared" ref="F69:F76" si="9">5-4*(B58-MIN($B$57:$B$65))/(MAX($B$57:$B$65)-MIN($B$57:$B$65))</f>
        <v>3.7823787089842136</v>
      </c>
      <c r="G69" s="32">
        <f t="shared" ref="G69:G76" si="10">5-(4*(F58-MIN($F$57:$F$65))/(MAX($F$57:$F$65)-MIN($F$57:$F$65)))</f>
        <v>5</v>
      </c>
      <c r="H69" s="32">
        <f t="shared" ref="H69:H76" si="11">5-(4*(G58-$G$58)/($G$57-$G$58))</f>
        <v>5</v>
      </c>
      <c r="I69">
        <v>5</v>
      </c>
      <c r="J69" s="31">
        <f t="shared" si="5"/>
        <v>4.1024605886198753</v>
      </c>
      <c r="K69" s="31">
        <f t="shared" ref="K69:K76" si="12">(2*(B69+C69+G69)+D69+E69+F69+H69+I69)/11</f>
        <v>4.0952242635827254</v>
      </c>
      <c r="L69" s="31">
        <f t="shared" ref="L69:L76" si="13">(2*(D69+E69+F69+H69)+B69+C69+G69+I69)/12</f>
        <v>4.0342989356222523</v>
      </c>
    </row>
    <row r="70" spans="1:12" x14ac:dyDescent="0.3">
      <c r="A70" t="s">
        <v>75</v>
      </c>
      <c r="B70" s="32">
        <f t="shared" si="4"/>
        <v>5</v>
      </c>
      <c r="C70" s="32">
        <f t="shared" si="6"/>
        <v>4.7701879798782105</v>
      </c>
      <c r="D70" s="32">
        <f t="shared" si="7"/>
        <v>1</v>
      </c>
      <c r="E70" s="32">
        <f t="shared" si="8"/>
        <v>1</v>
      </c>
      <c r="F70" s="32">
        <f t="shared" si="9"/>
        <v>1</v>
      </c>
      <c r="G70" s="32">
        <f t="shared" si="10"/>
        <v>5</v>
      </c>
      <c r="H70" s="32">
        <f t="shared" si="11"/>
        <v>5</v>
      </c>
      <c r="I70">
        <v>5</v>
      </c>
      <c r="J70" s="31">
        <f t="shared" si="5"/>
        <v>3.4712734974847761</v>
      </c>
      <c r="K70" s="31">
        <f t="shared" si="12"/>
        <v>3.8673069054324016</v>
      </c>
      <c r="L70" s="31">
        <f t="shared" si="13"/>
        <v>2.9808489983231841</v>
      </c>
    </row>
    <row r="71" spans="1:12" x14ac:dyDescent="0.3">
      <c r="A71" t="s">
        <v>76</v>
      </c>
      <c r="B71" s="32">
        <f t="shared" si="4"/>
        <v>5</v>
      </c>
      <c r="C71" s="32">
        <f t="shared" si="6"/>
        <v>5</v>
      </c>
      <c r="D71" s="32">
        <f t="shared" si="7"/>
        <v>2.6190476190476191</v>
      </c>
      <c r="E71" s="32">
        <f t="shared" si="8"/>
        <v>4</v>
      </c>
      <c r="F71" s="32">
        <f t="shared" si="9"/>
        <v>3.8660219852880404</v>
      </c>
      <c r="G71" s="32">
        <f>5-(4*(F60-MIN($F$57:$F$65))/(MAX($F$57:$F$65)-MIN($F$57:$F$65)))</f>
        <v>4.5999999999999996</v>
      </c>
      <c r="H71" s="32">
        <f t="shared" si="11"/>
        <v>5</v>
      </c>
      <c r="I71">
        <v>5</v>
      </c>
      <c r="J71" s="31">
        <f t="shared" si="5"/>
        <v>4.3856337005419572</v>
      </c>
      <c r="K71" s="31">
        <f t="shared" si="12"/>
        <v>4.516824509485061</v>
      </c>
      <c r="L71" s="31">
        <f t="shared" si="13"/>
        <v>4.2141782673892765</v>
      </c>
    </row>
    <row r="72" spans="1:12" x14ac:dyDescent="0.3">
      <c r="A72" t="s">
        <v>77</v>
      </c>
      <c r="B72" s="32">
        <f t="shared" si="4"/>
        <v>5</v>
      </c>
      <c r="C72" s="32">
        <f>4*(D61-$D$64)/($D$60-$D$64)+1</f>
        <v>4.751654752449034</v>
      </c>
      <c r="D72" s="32">
        <f t="shared" si="7"/>
        <v>2.1428571428571432</v>
      </c>
      <c r="E72" s="32">
        <f t="shared" si="8"/>
        <v>3.4444444444444451</v>
      </c>
      <c r="F72" s="32">
        <f t="shared" si="9"/>
        <v>3.258699066038516</v>
      </c>
      <c r="G72" s="32">
        <f t="shared" si="10"/>
        <v>5</v>
      </c>
      <c r="H72" s="32">
        <f t="shared" si="11"/>
        <v>5</v>
      </c>
      <c r="I72">
        <v>1</v>
      </c>
      <c r="J72" s="31">
        <f t="shared" si="5"/>
        <v>3.6997069257236421</v>
      </c>
      <c r="K72" s="31">
        <f t="shared" si="12"/>
        <v>4.0317554689307435</v>
      </c>
      <c r="L72" s="31">
        <f t="shared" si="13"/>
        <v>3.6203046715941039</v>
      </c>
    </row>
    <row r="73" spans="1:12" x14ac:dyDescent="0.3">
      <c r="A73" t="s">
        <v>78</v>
      </c>
      <c r="B73" s="32">
        <f t="shared" si="4"/>
        <v>1</v>
      </c>
      <c r="C73" s="32">
        <v>0</v>
      </c>
      <c r="D73" s="32">
        <f t="shared" si="7"/>
        <v>3.9523809523809534</v>
      </c>
      <c r="E73" s="32">
        <f t="shared" si="8"/>
        <v>4.1111111111111107</v>
      </c>
      <c r="F73" s="32">
        <f t="shared" si="9"/>
        <v>3.9113149847094797</v>
      </c>
      <c r="G73" s="32">
        <f t="shared" si="10"/>
        <v>1</v>
      </c>
      <c r="H73" s="32">
        <f t="shared" si="11"/>
        <v>5</v>
      </c>
      <c r="I73">
        <v>3</v>
      </c>
      <c r="J73" s="31">
        <f t="shared" si="5"/>
        <v>2.7468508810251926</v>
      </c>
      <c r="K73" s="31">
        <f t="shared" si="12"/>
        <v>2.1795279134728673</v>
      </c>
      <c r="L73" s="31">
        <f t="shared" si="13"/>
        <v>3.2458011747002566</v>
      </c>
    </row>
    <row r="74" spans="1:12" x14ac:dyDescent="0.3">
      <c r="A74" t="s">
        <v>79</v>
      </c>
      <c r="B74" s="32">
        <f t="shared" si="4"/>
        <v>3.6666666666666665</v>
      </c>
      <c r="C74" s="32">
        <f t="shared" si="6"/>
        <v>4.6049774953666933</v>
      </c>
      <c r="D74" s="32">
        <f t="shared" si="7"/>
        <v>1.5714285714285712</v>
      </c>
      <c r="E74" s="32">
        <f t="shared" si="8"/>
        <v>3.6666666666666665</v>
      </c>
      <c r="F74" s="32">
        <f t="shared" si="9"/>
        <v>1.4314406149268546</v>
      </c>
      <c r="G74" s="32">
        <f t="shared" si="10"/>
        <v>5</v>
      </c>
      <c r="H74" s="32">
        <f t="shared" si="11"/>
        <v>5</v>
      </c>
      <c r="I74">
        <v>5</v>
      </c>
      <c r="J74" s="31">
        <f t="shared" si="5"/>
        <v>3.7426475018819314</v>
      </c>
      <c r="K74" s="31">
        <f t="shared" si="12"/>
        <v>3.9284385615535284</v>
      </c>
      <c r="L74" s="31">
        <f t="shared" si="13"/>
        <v>3.4675596556731292</v>
      </c>
    </row>
    <row r="75" spans="1:12" x14ac:dyDescent="0.3">
      <c r="A75" t="s">
        <v>80</v>
      </c>
      <c r="B75" s="32">
        <f t="shared" si="4"/>
        <v>1</v>
      </c>
      <c r="C75" s="32">
        <f t="shared" si="6"/>
        <v>1</v>
      </c>
      <c r="D75" s="32">
        <f t="shared" si="7"/>
        <v>5</v>
      </c>
      <c r="E75" s="32">
        <f t="shared" si="8"/>
        <v>5</v>
      </c>
      <c r="F75" s="32">
        <f t="shared" si="9"/>
        <v>5</v>
      </c>
      <c r="G75" s="32">
        <f t="shared" si="10"/>
        <v>5</v>
      </c>
      <c r="H75" s="32">
        <f t="shared" si="11"/>
        <v>5</v>
      </c>
      <c r="I75">
        <v>5</v>
      </c>
      <c r="J75" s="31">
        <f t="shared" si="5"/>
        <v>4</v>
      </c>
      <c r="K75" s="31">
        <f t="shared" si="12"/>
        <v>3.5454545454545454</v>
      </c>
      <c r="L75" s="31">
        <f t="shared" si="13"/>
        <v>4.333333333333333</v>
      </c>
    </row>
    <row r="76" spans="1:12" x14ac:dyDescent="0.3">
      <c r="A76" t="s">
        <v>81</v>
      </c>
      <c r="B76" s="32">
        <f t="shared" si="4"/>
        <v>5</v>
      </c>
      <c r="C76" s="32">
        <f t="shared" si="6"/>
        <v>4.8845644691554142</v>
      </c>
      <c r="D76" s="32">
        <f t="shared" si="7"/>
        <v>1.9523809523809528</v>
      </c>
      <c r="E76" s="32">
        <f t="shared" si="8"/>
        <v>3.6666666666666665</v>
      </c>
      <c r="F76" s="32">
        <f t="shared" si="9"/>
        <v>3.2669642119183413</v>
      </c>
      <c r="G76" s="32">
        <f t="shared" si="10"/>
        <v>4.8</v>
      </c>
      <c r="H76" s="32">
        <f t="shared" si="11"/>
        <v>5</v>
      </c>
      <c r="I76">
        <v>5</v>
      </c>
      <c r="J76" s="31">
        <f t="shared" si="5"/>
        <v>4.1963220375151717</v>
      </c>
      <c r="K76" s="31">
        <f t="shared" si="12"/>
        <v>4.3868309790251629</v>
      </c>
      <c r="L76" s="31">
        <f t="shared" si="13"/>
        <v>3.9547156775906114</v>
      </c>
    </row>
    <row r="78" spans="1:12" x14ac:dyDescent="0.3">
      <c r="A78" s="1" t="s">
        <v>66</v>
      </c>
      <c r="B78" t="s">
        <v>99</v>
      </c>
      <c r="C78" t="s">
        <v>100</v>
      </c>
      <c r="D78" t="s">
        <v>101</v>
      </c>
      <c r="E78" t="s">
        <v>102</v>
      </c>
      <c r="F78" t="s">
        <v>103</v>
      </c>
      <c r="G78" t="s">
        <v>104</v>
      </c>
      <c r="H78" t="s">
        <v>105</v>
      </c>
      <c r="I78" t="s">
        <v>106</v>
      </c>
      <c r="J78" t="s">
        <v>110</v>
      </c>
      <c r="K78" t="s">
        <v>108</v>
      </c>
      <c r="L78" t="s">
        <v>109</v>
      </c>
    </row>
    <row r="79" spans="1:12" x14ac:dyDescent="0.3">
      <c r="A79" t="s">
        <v>73</v>
      </c>
      <c r="B79" s="32">
        <f>4*($H$57-$H$64)/($H$60-$H$64)+1</f>
        <v>5</v>
      </c>
      <c r="C79" s="32">
        <f>4*($D$2-MAX($D$2:$D$10))/(MIN($D$2:$D$10)-MAX($D$2:$D$10))+1</f>
        <v>5</v>
      </c>
      <c r="D79" s="32">
        <f>4*(C2-MIN($C$2:$C$10))/(MAX($C$2:$C$10)-MIN($C$2:$C$10))+1</f>
        <v>3.666666666666667</v>
      </c>
      <c r="E79" s="32">
        <f>4*(E2-MIN($E$2:$E$10))/(MAX($E$2:$E$10)-MIN($E$2:$E$10))+1</f>
        <v>3.666666666666667</v>
      </c>
      <c r="F79" s="32">
        <f>5-4*(B2-MIN($B$2:$B$10))/(MAX($B$2:$B$10)-MIN($B$2:$B$10))</f>
        <v>3.2791293213828423</v>
      </c>
      <c r="G79" s="32">
        <f>5-(4*($F$57-MIN($F$57:$F$65))/(MAX($F$57:$F$65)-MIN($F$57:$F$65)))</f>
        <v>5</v>
      </c>
      <c r="H79" s="32">
        <f>5-(4*($G$57-$G$58)/($G$57-$G$58))</f>
        <v>1</v>
      </c>
      <c r="I79">
        <v>5</v>
      </c>
      <c r="J79" s="31">
        <f t="shared" ref="J79:J87" si="14">AVERAGE(B79:I79)</f>
        <v>3.9515578318395224</v>
      </c>
      <c r="K79" s="31">
        <f>(2*(B79+C79+G79)+D79+E79+F79+H79+I79)/11</f>
        <v>4.2374966049741971</v>
      </c>
      <c r="L79" s="31">
        <f>(2*(D79+E79+F79+H79)+B79+C79+G79+I79)/12</f>
        <v>3.6020771091193624</v>
      </c>
    </row>
    <row r="80" spans="1:12" x14ac:dyDescent="0.3">
      <c r="A80" s="13" t="s">
        <v>74</v>
      </c>
      <c r="B80" s="32">
        <f>4*($H$58-$H$64)/($H$60-$H$64)+1</f>
        <v>3.2222222222222219</v>
      </c>
      <c r="C80" s="32">
        <f t="shared" ref="C80:C87" si="15">4*(D3-MAX($D$2:$D$10))/(MIN($D$2:$D$10)-MAX($D$2:$D$10))+1</f>
        <v>5</v>
      </c>
      <c r="D80" s="32">
        <f t="shared" ref="D80:D87" si="16">4*(C3-MIN($C$2:$C$10))/(MAX($C$2:$C$10)-MIN($C$2:$C$10))+1</f>
        <v>2.333333333333333</v>
      </c>
      <c r="E80" s="32">
        <f t="shared" ref="E80:E87" si="17">4*(E3-MIN($E$2:$E$10))/(MAX($E$2:$E$10)-MIN($E$2:$E$10))+1</f>
        <v>1</v>
      </c>
      <c r="F80" s="32">
        <f t="shared" ref="F80:F87" si="18">5-4*(B3-MIN($B$2:$B$10))/(MAX($B$2:$B$10)-MIN($B$2:$B$10))</f>
        <v>2.7874519846350831</v>
      </c>
      <c r="G80" s="32">
        <f>5-(4*($F$58-MIN($F$57:$F$65))/(MAX($F$57:$F$65)-MIN($F$57:$F$65)))</f>
        <v>5</v>
      </c>
      <c r="H80" s="32">
        <f>5-(4*($G$58-$G$58)/($G$57-$G$58))</f>
        <v>5</v>
      </c>
      <c r="I80">
        <v>5</v>
      </c>
      <c r="J80" s="31">
        <f t="shared" si="14"/>
        <v>3.6678759425238296</v>
      </c>
      <c r="K80" s="31">
        <f t="shared" ref="K80:K87" si="19">(2*(B80+C80+G80)+D80+E80+F80+H80+I80)/11</f>
        <v>3.8695663420375324</v>
      </c>
      <c r="L80" s="31">
        <f t="shared" ref="L80:L87" si="20">(2*(D80+E80+F80+H80)+B80+C80+G80+I80)/12</f>
        <v>3.3719827381799212</v>
      </c>
    </row>
    <row r="81" spans="1:12" x14ac:dyDescent="0.3">
      <c r="A81" t="s">
        <v>75</v>
      </c>
      <c r="B81" s="32">
        <f>4*($H$59-$H$64)/($H$60-$H$64)+1</f>
        <v>5</v>
      </c>
      <c r="C81" s="32">
        <f t="shared" si="15"/>
        <v>5</v>
      </c>
      <c r="D81" s="32">
        <f t="shared" si="16"/>
        <v>3.666666666666667</v>
      </c>
      <c r="E81" s="32">
        <f t="shared" si="17"/>
        <v>1</v>
      </c>
      <c r="F81" s="32">
        <f t="shared" si="18"/>
        <v>4.3751600512163886</v>
      </c>
      <c r="G81" s="32">
        <f>5-(4*($F$59-MIN($F$57:$F$65))/(MAX($F$57:$F$65)-MIN($F$57:$F$65)))</f>
        <v>5</v>
      </c>
      <c r="H81" s="32">
        <f>5-(4*($G$59-$G$58)/($G$57-$G$58))</f>
        <v>5</v>
      </c>
      <c r="I81">
        <v>5</v>
      </c>
      <c r="J81" s="31">
        <f t="shared" si="14"/>
        <v>4.2552283397353818</v>
      </c>
      <c r="K81" s="31">
        <f t="shared" si="19"/>
        <v>4.4583478834439143</v>
      </c>
      <c r="L81" s="31">
        <f t="shared" si="20"/>
        <v>4.0069711196471758</v>
      </c>
    </row>
    <row r="82" spans="1:12" x14ac:dyDescent="0.3">
      <c r="A82" t="s">
        <v>76</v>
      </c>
      <c r="B82" s="32">
        <f>4*($H$60-$H$64)/($H$60-$H$64)+1</f>
        <v>5</v>
      </c>
      <c r="C82" s="32">
        <f t="shared" si="15"/>
        <v>5</v>
      </c>
      <c r="D82" s="32">
        <f t="shared" si="16"/>
        <v>5</v>
      </c>
      <c r="E82" s="32">
        <f t="shared" si="17"/>
        <v>3.666666666666667</v>
      </c>
      <c r="F82" s="32">
        <f t="shared" si="18"/>
        <v>5</v>
      </c>
      <c r="G82" s="32">
        <f>5-(4*($F$60-MIN($F$57:$F$65))/(MAX($F$57:$F$65)-MIN($F$57:$F$65)))</f>
        <v>4.5999999999999996</v>
      </c>
      <c r="H82" s="32">
        <f>5-(4*($G$60-$G$58)/($G$57-$G$58))</f>
        <v>5</v>
      </c>
      <c r="I82">
        <v>5</v>
      </c>
      <c r="J82" s="31">
        <f t="shared" si="14"/>
        <v>4.7833333333333332</v>
      </c>
      <c r="K82" s="31">
        <f t="shared" si="19"/>
        <v>4.8060606060606057</v>
      </c>
      <c r="L82" s="31">
        <f t="shared" si="20"/>
        <v>4.7444444444444445</v>
      </c>
    </row>
    <row r="83" spans="1:12" x14ac:dyDescent="0.3">
      <c r="A83" t="s">
        <v>77</v>
      </c>
      <c r="B83" s="32">
        <f>4*($H$61-$H$64)/($H$60-$H$64)+1</f>
        <v>5</v>
      </c>
      <c r="C83" s="32">
        <f t="shared" si="15"/>
        <v>5</v>
      </c>
      <c r="D83" s="32">
        <f t="shared" si="16"/>
        <v>3.666666666666667</v>
      </c>
      <c r="E83" s="32">
        <f t="shared" si="17"/>
        <v>2.333333333333333</v>
      </c>
      <c r="F83" s="32">
        <f t="shared" si="18"/>
        <v>4.4007682458386679</v>
      </c>
      <c r="G83" s="32">
        <f>5-(4*($F$61-MIN($F$57:$F$65))/(MAX($F$57:$F$65)-MIN($F$57:$F$65)))</f>
        <v>5</v>
      </c>
      <c r="H83" s="32">
        <f>5-(4*($G$61-$G$58)/($G$57-$G$58))</f>
        <v>5</v>
      </c>
      <c r="I83">
        <v>1</v>
      </c>
      <c r="J83" s="31">
        <f t="shared" si="14"/>
        <v>3.9250960307298337</v>
      </c>
      <c r="K83" s="31">
        <f t="shared" si="19"/>
        <v>4.2182516587126067</v>
      </c>
      <c r="L83" s="31">
        <f t="shared" si="20"/>
        <v>3.9001280409731116</v>
      </c>
    </row>
    <row r="84" spans="1:12" x14ac:dyDescent="0.3">
      <c r="A84" t="s">
        <v>78</v>
      </c>
      <c r="B84" s="32">
        <f>4*($H$62-$H$64)/($H$60-$H$64)+1</f>
        <v>1</v>
      </c>
      <c r="C84" s="32">
        <v>0</v>
      </c>
      <c r="D84" s="32">
        <f t="shared" si="16"/>
        <v>5</v>
      </c>
      <c r="E84" s="32">
        <f t="shared" si="17"/>
        <v>2.333333333333333</v>
      </c>
      <c r="F84" s="32">
        <f t="shared" si="18"/>
        <v>4.2727272727272725</v>
      </c>
      <c r="G84" s="32">
        <f>5-(4*($F$62-MIN($F$57:$F$65))/(MAX($F$57:$F$65)-MIN($F$57:$F$65)))</f>
        <v>1</v>
      </c>
      <c r="H84" s="32">
        <f>5-(4*($G$62-$G$58)/($G$57-$G$58))</f>
        <v>5</v>
      </c>
      <c r="I84">
        <v>3</v>
      </c>
      <c r="J84" s="31">
        <f t="shared" si="14"/>
        <v>2.7007575757575757</v>
      </c>
      <c r="K84" s="31">
        <f t="shared" si="19"/>
        <v>2.1460055096418733</v>
      </c>
      <c r="L84" s="31">
        <f t="shared" si="20"/>
        <v>3.1843434343434343</v>
      </c>
    </row>
    <row r="85" spans="1:12" x14ac:dyDescent="0.3">
      <c r="A85" t="s">
        <v>79</v>
      </c>
      <c r="B85" s="32">
        <f>4*($H$63-$H$64)/($H$60-$H$64)+1</f>
        <v>3.6666666666666665</v>
      </c>
      <c r="C85" s="32">
        <f t="shared" si="15"/>
        <v>5</v>
      </c>
      <c r="D85" s="32">
        <f t="shared" si="16"/>
        <v>1</v>
      </c>
      <c r="E85" s="32">
        <f t="shared" si="17"/>
        <v>1</v>
      </c>
      <c r="F85" s="32">
        <f t="shared" si="18"/>
        <v>1</v>
      </c>
      <c r="G85" s="32">
        <f>5-(4*($F$63-MIN($F$57:$F$65))/(MAX($F$57:$F$65)-MIN($F$57:$F$65)))</f>
        <v>5</v>
      </c>
      <c r="H85" s="32">
        <f>5-(4*($G$63-$G$58)/($G$57-$G$58))</f>
        <v>5</v>
      </c>
      <c r="I85">
        <v>5</v>
      </c>
      <c r="J85" s="31">
        <f t="shared" si="14"/>
        <v>3.333333333333333</v>
      </c>
      <c r="K85" s="31">
        <f t="shared" si="19"/>
        <v>3.6666666666666661</v>
      </c>
      <c r="L85" s="31">
        <f t="shared" si="20"/>
        <v>2.8888888888888893</v>
      </c>
    </row>
    <row r="86" spans="1:12" x14ac:dyDescent="0.3">
      <c r="A86" t="s">
        <v>80</v>
      </c>
      <c r="B86" s="32">
        <f>4*($H$64-$H$64)/($H$60-$H$64)+1</f>
        <v>1</v>
      </c>
      <c r="C86" s="32">
        <f t="shared" si="15"/>
        <v>1</v>
      </c>
      <c r="D86" s="32">
        <f t="shared" si="16"/>
        <v>5</v>
      </c>
      <c r="E86" s="32">
        <f t="shared" si="17"/>
        <v>5</v>
      </c>
      <c r="F86" s="32">
        <f t="shared" si="18"/>
        <v>4.5032010243277849</v>
      </c>
      <c r="G86" s="32">
        <f>5-(4*($F$64-MIN($F$57:$F$65))/(MAX($F$57:$F$65)-MIN($F$57:$F$65)))</f>
        <v>5</v>
      </c>
      <c r="H86" s="32">
        <f>5-(4*($G$64-$G$58)/($G$57-$G$58))</f>
        <v>5</v>
      </c>
      <c r="I86">
        <v>5</v>
      </c>
      <c r="J86" s="31">
        <f t="shared" si="14"/>
        <v>3.9379001280409733</v>
      </c>
      <c r="K86" s="31">
        <f t="shared" si="19"/>
        <v>3.5002910022116169</v>
      </c>
      <c r="L86" s="31">
        <f t="shared" si="20"/>
        <v>4.2505335040546308</v>
      </c>
    </row>
    <row r="87" spans="1:12" x14ac:dyDescent="0.3">
      <c r="A87" t="s">
        <v>81</v>
      </c>
      <c r="B87" s="32">
        <f>4*($H$65-$H$64)/($H$60-$H$64)+1</f>
        <v>5</v>
      </c>
      <c r="C87" s="32">
        <f t="shared" si="15"/>
        <v>5</v>
      </c>
      <c r="D87" s="32">
        <f t="shared" si="16"/>
        <v>3.666666666666667</v>
      </c>
      <c r="E87" s="32">
        <f t="shared" si="17"/>
        <v>1</v>
      </c>
      <c r="F87" s="32">
        <f t="shared" si="18"/>
        <v>3.6888604353393086</v>
      </c>
      <c r="G87" s="32">
        <f>5-(4*($F$65-MIN($F$57:$F$65))/(MAX($F$57:$F$65)-MIN($F$57:$F$65)))</f>
        <v>4.8</v>
      </c>
      <c r="H87" s="32">
        <f>5-(4*($G$65-$G$58)/($G$57-$G$58))</f>
        <v>5</v>
      </c>
      <c r="I87">
        <v>5</v>
      </c>
      <c r="J87" s="31">
        <f t="shared" si="14"/>
        <v>4.144440887750747</v>
      </c>
      <c r="K87" s="31">
        <f t="shared" si="19"/>
        <v>4.3595933729096341</v>
      </c>
      <c r="L87" s="31">
        <f t="shared" si="20"/>
        <v>3.8759211836676624</v>
      </c>
    </row>
    <row r="89" spans="1:12" x14ac:dyDescent="0.3">
      <c r="A89" s="1" t="s">
        <v>71</v>
      </c>
      <c r="B89" t="s">
        <v>99</v>
      </c>
      <c r="C89" t="s">
        <v>100</v>
      </c>
      <c r="D89" t="s">
        <v>101</v>
      </c>
      <c r="E89" t="s">
        <v>102</v>
      </c>
      <c r="F89" t="s">
        <v>103</v>
      </c>
      <c r="G89" t="s">
        <v>104</v>
      </c>
      <c r="H89" t="s">
        <v>105</v>
      </c>
      <c r="I89" t="s">
        <v>106</v>
      </c>
      <c r="J89" t="s">
        <v>110</v>
      </c>
      <c r="K89" t="s">
        <v>108</v>
      </c>
      <c r="L89" t="s">
        <v>109</v>
      </c>
    </row>
    <row r="90" spans="1:12" x14ac:dyDescent="0.3">
      <c r="A90" t="s">
        <v>73</v>
      </c>
      <c r="B90" s="32">
        <f>4*($H$57-$H$64)/($H$60-$H$64)+1</f>
        <v>5</v>
      </c>
      <c r="C90" s="32">
        <f>4*(J2-MAX($J$2:$J$10))/(MIN($J$2:$J$10)-MAX($J$2:$J$10))+1</f>
        <v>5</v>
      </c>
      <c r="D90" s="32">
        <f>4*(I2-MIN($I$2:$I$10))/(MAX($I$2:$I$10)-MIN($I$2:$I$10))+1</f>
        <v>3.9999999999999996</v>
      </c>
      <c r="E90" s="32">
        <f>4*(K2-MIN($K$2:$K$10))/(MAX($K$2:$K$10)-MIN($K$2:$K$10))+1</f>
        <v>3.666666666666667</v>
      </c>
      <c r="F90" s="32">
        <f>5-4*(H2-MIN($H$2:$H$10))/(MAX($H$2:$H$10)-MIN($H$2:$H$10))</f>
        <v>3.6305818673883632</v>
      </c>
      <c r="G90" s="32">
        <f>5-(4*($F$57-MIN($F$57:$F$65))/(MAX($F$57:$F$65)-MIN($F$57:$F$65)))</f>
        <v>5</v>
      </c>
      <c r="H90" s="32">
        <f>5-(4*($G$57-$G$58)/($G$57-$G$58))</f>
        <v>1</v>
      </c>
      <c r="I90">
        <v>5</v>
      </c>
      <c r="J90" s="31">
        <f t="shared" ref="J90:J98" si="21">AVERAGE(B90:I90)</f>
        <v>4.0371560667568787</v>
      </c>
      <c r="K90" s="31">
        <f>(2*(B90+C90+G90)+D90+E90+F90+H90+I90)/11</f>
        <v>4.2997498667322755</v>
      </c>
      <c r="L90" s="31">
        <f>(2*(D90+E90+F90+H90)+B90+C90+G90+I90)/12</f>
        <v>3.7162080890091715</v>
      </c>
    </row>
    <row r="91" spans="1:12" x14ac:dyDescent="0.3">
      <c r="A91" s="13" t="s">
        <v>74</v>
      </c>
      <c r="B91" s="32">
        <f>4*($H$58-$H$64)/($H$60-$H$64)+1</f>
        <v>3.2222222222222219</v>
      </c>
      <c r="C91" s="32">
        <f t="shared" ref="C91:C98" si="22">4*(J3-MAX($J$2:$J$10))/(MIN($J$2:$J$10)-MAX($J$2:$J$10))+1</f>
        <v>5</v>
      </c>
      <c r="D91" s="32">
        <f t="shared" ref="D91:D98" si="23">4*(I3-MIN($I$2:$I$10))/(MAX($I$2:$I$10)-MIN($I$2:$I$10))+1</f>
        <v>1</v>
      </c>
      <c r="E91" s="32">
        <f t="shared" ref="E91:E98" si="24">4*(K3-MIN($K$2:$K$10))/(MAX($K$2:$K$10)-MIN($K$2:$K$10))+1</f>
        <v>1</v>
      </c>
      <c r="F91" s="32">
        <f t="shared" ref="F91:F98" si="25">5-4*(H3-MIN($H$2:$H$10))/(MAX($H$2:$H$10)-MIN($H$2:$H$10))</f>
        <v>2.4939106901217869</v>
      </c>
      <c r="G91" s="32">
        <f>5-(4*($F$58-MIN($F$57:$F$65))/(MAX($F$57:$F$65)-MIN($F$57:$F$65)))</f>
        <v>5</v>
      </c>
      <c r="H91" s="32">
        <f>5-(4*($G$58-$G$58)/($G$57-$G$58))</f>
        <v>5</v>
      </c>
      <c r="I91">
        <v>5</v>
      </c>
      <c r="J91" s="31">
        <f t="shared" si="21"/>
        <v>3.464516614043001</v>
      </c>
      <c r="K91" s="31">
        <f t="shared" ref="K91:K98" si="26">(2*(B91+C91+G91)+D91+E91+F91+H91+I91)/11</f>
        <v>3.7216686485969301</v>
      </c>
      <c r="L91" s="31">
        <f t="shared" ref="L91:L98" si="27">(2*(D91+E91+F91+H91)+B91+C91+G91+I91)/12</f>
        <v>3.1008369668721496</v>
      </c>
    </row>
    <row r="92" spans="1:12" x14ac:dyDescent="0.3">
      <c r="A92" t="s">
        <v>75</v>
      </c>
      <c r="B92" s="32">
        <f>4*($H$59-$H$64)/($H$60-$H$64)+1</f>
        <v>5</v>
      </c>
      <c r="C92" s="32">
        <f t="shared" si="22"/>
        <v>5</v>
      </c>
      <c r="D92" s="32">
        <f t="shared" si="23"/>
        <v>3.9999999999999996</v>
      </c>
      <c r="E92" s="32">
        <f t="shared" si="24"/>
        <v>1</v>
      </c>
      <c r="F92" s="32">
        <f t="shared" si="25"/>
        <v>3.8254397834912042</v>
      </c>
      <c r="G92" s="32">
        <f>5-(4*($F$59-MIN($F$57:$F$65))/(MAX($F$57:$F$65)-MIN($F$57:$F$65)))</f>
        <v>5</v>
      </c>
      <c r="H92" s="32">
        <f>5-(4*($G$59-$G$58)/($G$57-$G$58))</f>
        <v>5</v>
      </c>
      <c r="I92">
        <v>5</v>
      </c>
      <c r="J92" s="31">
        <f t="shared" si="21"/>
        <v>4.2281799729364007</v>
      </c>
      <c r="K92" s="31">
        <f t="shared" si="26"/>
        <v>4.4386763439537456</v>
      </c>
      <c r="L92" s="31">
        <f t="shared" si="27"/>
        <v>3.9709066305818674</v>
      </c>
    </row>
    <row r="93" spans="1:12" x14ac:dyDescent="0.3">
      <c r="A93" t="s">
        <v>76</v>
      </c>
      <c r="B93" s="32">
        <f>4*($H$60-$H$64)/($H$60-$H$64)+1</f>
        <v>5</v>
      </c>
      <c r="C93" s="32">
        <f t="shared" si="22"/>
        <v>5</v>
      </c>
      <c r="D93" s="32">
        <f t="shared" si="23"/>
        <v>5</v>
      </c>
      <c r="E93" s="32">
        <f t="shared" si="24"/>
        <v>3.666666666666667</v>
      </c>
      <c r="F93" s="32">
        <f t="shared" si="25"/>
        <v>5</v>
      </c>
      <c r="G93" s="32">
        <f>5-(4*($F$60-MIN($F$57:$F$65))/(MAX($F$57:$F$65)-MIN($F$57:$F$65)))</f>
        <v>4.5999999999999996</v>
      </c>
      <c r="H93" s="32">
        <f>5-(4*($G$60-$G$58)/($G$57-$G$58))</f>
        <v>5</v>
      </c>
      <c r="I93">
        <v>5</v>
      </c>
      <c r="J93" s="31">
        <f t="shared" si="21"/>
        <v>4.7833333333333332</v>
      </c>
      <c r="K93" s="31">
        <f t="shared" si="26"/>
        <v>4.8060606060606057</v>
      </c>
      <c r="L93" s="31">
        <f t="shared" si="27"/>
        <v>4.7444444444444445</v>
      </c>
    </row>
    <row r="94" spans="1:12" x14ac:dyDescent="0.3">
      <c r="A94" t="s">
        <v>77</v>
      </c>
      <c r="B94" s="32">
        <f>4*($H$61-$H$64)/($H$60-$H$64)+1</f>
        <v>5</v>
      </c>
      <c r="C94" s="32">
        <f t="shared" si="22"/>
        <v>5</v>
      </c>
      <c r="D94" s="32">
        <f t="shared" si="23"/>
        <v>3.9999999999999996</v>
      </c>
      <c r="E94" s="32">
        <f t="shared" si="24"/>
        <v>2.333333333333333</v>
      </c>
      <c r="F94" s="32">
        <f t="shared" si="25"/>
        <v>3.8308525033829506</v>
      </c>
      <c r="G94" s="32">
        <f>5-(4*($F$61-MIN($F$57:$F$65))/(MAX($F$57:$F$65)-MIN($F$57:$F$65)))</f>
        <v>5</v>
      </c>
      <c r="H94" s="32">
        <f>5-(4*($G$61-$G$58)/($G$57-$G$58))</f>
        <v>5</v>
      </c>
      <c r="I94">
        <v>1</v>
      </c>
      <c r="J94" s="31">
        <f t="shared" si="21"/>
        <v>3.8955232295895352</v>
      </c>
      <c r="K94" s="31">
        <f t="shared" si="26"/>
        <v>4.1967441669742076</v>
      </c>
      <c r="L94" s="31">
        <f t="shared" si="27"/>
        <v>3.8606976394527135</v>
      </c>
    </row>
    <row r="95" spans="1:12" x14ac:dyDescent="0.3">
      <c r="A95" t="s">
        <v>78</v>
      </c>
      <c r="B95" s="32">
        <f>4*($H$62-$H$64)/($H$60-$H$64)+1</f>
        <v>1</v>
      </c>
      <c r="C95" s="32">
        <v>0</v>
      </c>
      <c r="D95" s="32">
        <f t="shared" si="23"/>
        <v>5</v>
      </c>
      <c r="E95" s="32">
        <f t="shared" si="24"/>
        <v>2.333333333333333</v>
      </c>
      <c r="F95" s="32">
        <f t="shared" si="25"/>
        <v>4.4046008119079838</v>
      </c>
      <c r="G95" s="32">
        <f>5-(4*($F$62-MIN($F$57:$F$65))/(MAX($F$57:$F$65)-MIN($F$57:$F$65)))</f>
        <v>1</v>
      </c>
      <c r="H95" s="32">
        <f>5-(4*($G$62-$G$58)/($G$57-$G$58))</f>
        <v>5</v>
      </c>
      <c r="I95">
        <v>3</v>
      </c>
      <c r="J95" s="31">
        <f t="shared" si="21"/>
        <v>2.7172417681551644</v>
      </c>
      <c r="K95" s="31">
        <f t="shared" si="26"/>
        <v>2.1579940132037558</v>
      </c>
      <c r="L95" s="31">
        <f t="shared" si="27"/>
        <v>3.2063223575402198</v>
      </c>
    </row>
    <row r="96" spans="1:12" x14ac:dyDescent="0.3">
      <c r="A96" t="s">
        <v>79</v>
      </c>
      <c r="B96" s="32">
        <f>4*($H$63-$H$64)/($H$60-$H$64)+1</f>
        <v>3.6666666666666665</v>
      </c>
      <c r="C96" s="32">
        <f t="shared" si="22"/>
        <v>5</v>
      </c>
      <c r="D96" s="32">
        <f t="shared" si="23"/>
        <v>2.9999999999999996</v>
      </c>
      <c r="E96" s="32">
        <f t="shared" si="24"/>
        <v>1</v>
      </c>
      <c r="F96" s="32">
        <f t="shared" si="25"/>
        <v>1</v>
      </c>
      <c r="G96" s="32">
        <f>5-(4*($F$63-MIN($F$57:$F$65))/(MAX($F$57:$F$65)-MIN($F$57:$F$65)))</f>
        <v>5</v>
      </c>
      <c r="H96" s="32">
        <f>5-(4*($G$63-$G$58)/($G$57-$G$58))</f>
        <v>5</v>
      </c>
      <c r="I96">
        <v>5</v>
      </c>
      <c r="J96" s="31">
        <f t="shared" si="21"/>
        <v>3.583333333333333</v>
      </c>
      <c r="K96" s="31">
        <f t="shared" si="26"/>
        <v>3.8484848484848482</v>
      </c>
      <c r="L96" s="31">
        <f t="shared" si="27"/>
        <v>3.2222222222222228</v>
      </c>
    </row>
    <row r="97" spans="1:12" x14ac:dyDescent="0.3">
      <c r="A97" t="s">
        <v>80</v>
      </c>
      <c r="B97" s="32">
        <f>4*($H$64-$H$64)/($H$60-$H$64)+1</f>
        <v>1</v>
      </c>
      <c r="C97" s="32">
        <f t="shared" si="22"/>
        <v>1</v>
      </c>
      <c r="D97" s="32">
        <f t="shared" si="23"/>
        <v>5</v>
      </c>
      <c r="E97" s="32">
        <f t="shared" si="24"/>
        <v>5</v>
      </c>
      <c r="F97" s="32">
        <f t="shared" si="25"/>
        <v>4.9242219215155618</v>
      </c>
      <c r="G97" s="32">
        <f>5-(4*($F$64-MIN($F$57:$F$65))/(MAX($F$57:$F$65)-MIN($F$57:$F$65)))</f>
        <v>5</v>
      </c>
      <c r="H97" s="32">
        <f>5-(4*($G$64-$G$58)/($G$57-$G$58))</f>
        <v>5</v>
      </c>
      <c r="I97">
        <v>5</v>
      </c>
      <c r="J97" s="31">
        <f t="shared" si="21"/>
        <v>3.990527740189445</v>
      </c>
      <c r="K97" s="31">
        <f t="shared" si="26"/>
        <v>3.5385656292286871</v>
      </c>
      <c r="L97" s="31">
        <f t="shared" si="27"/>
        <v>4.3207036535859267</v>
      </c>
    </row>
    <row r="98" spans="1:12" x14ac:dyDescent="0.3">
      <c r="A98" t="s">
        <v>81</v>
      </c>
      <c r="B98" s="32">
        <f>4*($H$65-$H$64)/($H$60-$H$64)+1</f>
        <v>5</v>
      </c>
      <c r="C98" s="32">
        <f t="shared" si="22"/>
        <v>5</v>
      </c>
      <c r="D98" s="32">
        <f t="shared" si="23"/>
        <v>3.9999999999999996</v>
      </c>
      <c r="E98" s="32">
        <f t="shared" si="24"/>
        <v>1</v>
      </c>
      <c r="F98" s="32">
        <f t="shared" si="25"/>
        <v>3.6630581867388363</v>
      </c>
      <c r="G98" s="32">
        <f>5-(4*($F$65-MIN($F$57:$F$65))/(MAX($F$57:$F$65)-MIN($F$57:$F$65)))</f>
        <v>4.8</v>
      </c>
      <c r="H98" s="32">
        <f>5-(4*($G$65-$G$58)/($G$57-$G$58))</f>
        <v>5</v>
      </c>
      <c r="I98">
        <v>5</v>
      </c>
      <c r="J98" s="31">
        <f t="shared" si="21"/>
        <v>4.1828822733423543</v>
      </c>
      <c r="K98" s="31">
        <f t="shared" si="26"/>
        <v>4.3875507442489852</v>
      </c>
      <c r="L98" s="31">
        <f t="shared" si="27"/>
        <v>3.9271763644564728</v>
      </c>
    </row>
    <row r="100" spans="1:12" x14ac:dyDescent="0.3">
      <c r="A100" s="1" t="s">
        <v>72</v>
      </c>
      <c r="B100" t="s">
        <v>99</v>
      </c>
      <c r="C100" t="s">
        <v>100</v>
      </c>
      <c r="D100" t="s">
        <v>101</v>
      </c>
      <c r="E100" t="s">
        <v>102</v>
      </c>
      <c r="F100" t="s">
        <v>103</v>
      </c>
      <c r="G100" t="s">
        <v>104</v>
      </c>
      <c r="H100" t="s">
        <v>105</v>
      </c>
      <c r="I100" t="s">
        <v>106</v>
      </c>
      <c r="J100" t="s">
        <v>110</v>
      </c>
      <c r="K100" t="s">
        <v>108</v>
      </c>
      <c r="L100" t="s">
        <v>109</v>
      </c>
    </row>
    <row r="101" spans="1:12" x14ac:dyDescent="0.3">
      <c r="A101" t="s">
        <v>73</v>
      </c>
      <c r="B101" s="32">
        <f>4*($H$57-$H$64)/($H$60-$H$64)+1</f>
        <v>5</v>
      </c>
      <c r="C101" s="32">
        <f>4*(P2-MAX($P$2:$P$10))/(MIN($P$2:$P$10)-MAX($P$2:$P$10))+1</f>
        <v>5</v>
      </c>
      <c r="D101" s="32">
        <f>4*(O2-MIN($O$2:$O$10))/(MAX($O$2:$O$10)-MIN($O$2:$O$10))+1</f>
        <v>2</v>
      </c>
      <c r="E101" s="32">
        <f>4*(Q2-MIN($Q$2:$Q$10))/(MAX($Q$2:$Q$10)-MIN($Q$2:$Q$10))+1</f>
        <v>3.666666666666667</v>
      </c>
      <c r="F101" s="32">
        <f>5-4*(N2-MIN($N$2:$N$10))/(MAX($N$2:$N$10)-MIN($N$2:$N$10))</f>
        <v>3.5402843601895739</v>
      </c>
      <c r="G101" s="32">
        <f>5-(4*($F$57-MIN($F$57:$F$65))/(MAX($F$57:$F$65)-MIN($F$57:$F$65)))</f>
        <v>5</v>
      </c>
      <c r="H101" s="32">
        <f>5-(4*($G$57-$G$58)/($G$57-$G$58))</f>
        <v>1</v>
      </c>
      <c r="I101">
        <v>5</v>
      </c>
      <c r="J101" s="31">
        <f t="shared" ref="J101:J109" si="28">AVERAGE(B101:I101)</f>
        <v>3.7758688783570302</v>
      </c>
      <c r="K101" s="31">
        <f>(2*(B101+C101+G101)+D101+E101+F101+H101+I101)/11</f>
        <v>4.1097228206232943</v>
      </c>
      <c r="L101" s="31">
        <f>(2*(D101+E101+F101+H101)+B101+C101+G101+I101)/12</f>
        <v>3.367825171142707</v>
      </c>
    </row>
    <row r="102" spans="1:12" x14ac:dyDescent="0.3">
      <c r="A102" s="13" t="s">
        <v>74</v>
      </c>
      <c r="B102" s="32">
        <f>4*($H$58-$H$64)/($H$60-$H$64)+1</f>
        <v>3.2222222222222219</v>
      </c>
      <c r="C102" s="32">
        <f t="shared" ref="C102:C109" si="29">4*(P3-MAX($P$2:$P$10))/(MIN($P$2:$P$10)-MAX($P$2:$P$10))+1</f>
        <v>4.8894736842105262</v>
      </c>
      <c r="D102" s="32">
        <f t="shared" ref="D102:D108" si="30">4*(O3-MIN($O$2:$O$10))/(MAX($O$2:$O$10)-MIN($O$2:$O$10))+1</f>
        <v>1</v>
      </c>
      <c r="E102" s="32">
        <f t="shared" ref="E102:E109" si="31">4*(Q3-MIN($Q$2:$Q$10))/(MAX($Q$2:$Q$10)-MIN($Q$2:$Q$10))+1</f>
        <v>1</v>
      </c>
      <c r="F102" s="32">
        <f t="shared" ref="F102:F109" si="32">5-4*(N3-MIN($N$2:$N$10))/(MAX($N$2:$N$10)-MIN($N$2:$N$10))</f>
        <v>2.2938388625592423</v>
      </c>
      <c r="G102" s="32">
        <f>5-(4*($F$58-MIN($F$57:$F$65))/(MAX($F$57:$F$65)-MIN($F$57:$F$65)))</f>
        <v>5</v>
      </c>
      <c r="H102" s="32">
        <f>5-(4*($G$58-$G$58)/($G$57-$G$58))</f>
        <v>5</v>
      </c>
      <c r="I102">
        <v>5</v>
      </c>
      <c r="J102" s="31">
        <f t="shared" si="28"/>
        <v>3.4256918461239989</v>
      </c>
      <c r="K102" s="31">
        <f t="shared" ref="K102:K109" si="33">(2*(B102+C102+G102)+D102+E102+F102+H102+I102)/11</f>
        <v>3.6833846068567948</v>
      </c>
      <c r="L102" s="31">
        <f t="shared" ref="L102:L109" si="34">(2*(D102+E102+F102+H102)+B102+C102+G102+I102)/12</f>
        <v>3.0582811359626025</v>
      </c>
    </row>
    <row r="103" spans="1:12" x14ac:dyDescent="0.3">
      <c r="A103" t="s">
        <v>75</v>
      </c>
      <c r="B103" s="32">
        <f>4*($H$59-$H$64)/($H$60-$H$64)+1</f>
        <v>5</v>
      </c>
      <c r="C103" s="32">
        <f t="shared" si="29"/>
        <v>4.8947368421052628</v>
      </c>
      <c r="D103" s="32">
        <f t="shared" si="30"/>
        <v>1</v>
      </c>
      <c r="E103" s="32">
        <f t="shared" si="31"/>
        <v>1</v>
      </c>
      <c r="F103" s="32">
        <f t="shared" si="32"/>
        <v>3.1374407582938391</v>
      </c>
      <c r="G103" s="32">
        <f>5-(4*($F$59-MIN($F$57:$F$65))/(MAX($F$57:$F$65)-MIN($F$57:$F$65)))</f>
        <v>5</v>
      </c>
      <c r="H103" s="32">
        <f>5-(4*($G$59-$G$58)/($G$57-$G$58))</f>
        <v>5</v>
      </c>
      <c r="I103">
        <v>5</v>
      </c>
      <c r="J103" s="31">
        <f t="shared" si="28"/>
        <v>3.7540222000498877</v>
      </c>
      <c r="K103" s="31">
        <f t="shared" si="33"/>
        <v>4.0842649493185794</v>
      </c>
      <c r="L103" s="31">
        <f t="shared" si="34"/>
        <v>3.3474681965577453</v>
      </c>
    </row>
    <row r="104" spans="1:12" x14ac:dyDescent="0.3">
      <c r="A104" t="s">
        <v>76</v>
      </c>
      <c r="B104" s="32">
        <f>4*($H$60-$H$64)/($H$60-$H$64)+1</f>
        <v>5</v>
      </c>
      <c r="C104" s="32">
        <f t="shared" si="29"/>
        <v>5</v>
      </c>
      <c r="D104" s="32">
        <f t="shared" si="30"/>
        <v>2.9999999999999996</v>
      </c>
      <c r="E104" s="32">
        <f t="shared" si="31"/>
        <v>2.333333333333333</v>
      </c>
      <c r="F104" s="32">
        <f t="shared" si="32"/>
        <v>4.1658767772511851</v>
      </c>
      <c r="G104" s="32">
        <f>5-(4*($F$60-MIN($F$57:$F$65))/(MAX($F$57:$F$65)-MIN($F$57:$F$65)))</f>
        <v>4.5999999999999996</v>
      </c>
      <c r="H104" s="32">
        <f>5-(4*($G$60-$G$58)/($G$57-$G$58))</f>
        <v>5</v>
      </c>
      <c r="I104">
        <v>5</v>
      </c>
      <c r="J104" s="31">
        <f t="shared" si="28"/>
        <v>4.2624012638230644</v>
      </c>
      <c r="K104" s="31">
        <f t="shared" si="33"/>
        <v>4.4272009191440471</v>
      </c>
      <c r="L104" s="31">
        <f t="shared" si="34"/>
        <v>4.0498683517640863</v>
      </c>
    </row>
    <row r="105" spans="1:12" x14ac:dyDescent="0.3">
      <c r="A105" t="s">
        <v>77</v>
      </c>
      <c r="B105" s="32">
        <f>4*($H$61-$H$64)/($H$60-$H$64)+1</f>
        <v>5</v>
      </c>
      <c r="C105" s="32">
        <f t="shared" si="29"/>
        <v>5</v>
      </c>
      <c r="D105" s="32">
        <f t="shared" si="30"/>
        <v>1</v>
      </c>
      <c r="E105" s="32">
        <f t="shared" si="31"/>
        <v>2.333333333333333</v>
      </c>
      <c r="F105" s="32">
        <f t="shared" si="32"/>
        <v>3.1374407582938391</v>
      </c>
      <c r="G105" s="32">
        <f>5-(4*($F$61-MIN($F$57:$F$65))/(MAX($F$57:$F$65)-MIN($F$57:$F$65)))</f>
        <v>5</v>
      </c>
      <c r="H105" s="32">
        <f>5-(4*($G$61-$G$58)/($G$57-$G$58))</f>
        <v>5</v>
      </c>
      <c r="I105">
        <v>1</v>
      </c>
      <c r="J105" s="31">
        <f t="shared" si="28"/>
        <v>3.4338467614533963</v>
      </c>
      <c r="K105" s="31">
        <f t="shared" si="33"/>
        <v>3.8609794628751981</v>
      </c>
      <c r="L105" s="31">
        <f t="shared" si="34"/>
        <v>3.2451290152711949</v>
      </c>
    </row>
    <row r="106" spans="1:12" x14ac:dyDescent="0.3">
      <c r="A106" t="s">
        <v>78</v>
      </c>
      <c r="B106" s="32">
        <f>4*($H$62-$H$64)/($H$60-$H$64)+1</f>
        <v>1</v>
      </c>
      <c r="C106" s="32">
        <v>0</v>
      </c>
      <c r="D106" s="32">
        <f t="shared" si="30"/>
        <v>3.9999999999999996</v>
      </c>
      <c r="E106" s="32">
        <f t="shared" si="31"/>
        <v>2.333333333333333</v>
      </c>
      <c r="F106" s="32">
        <f t="shared" si="32"/>
        <v>4.37914691943128</v>
      </c>
      <c r="G106" s="32">
        <f>5-(4*($F$62-MIN($F$57:$F$65))/(MAX($F$57:$F$65)-MIN($F$57:$F$65)))</f>
        <v>1</v>
      </c>
      <c r="H106" s="32">
        <f>5-(4*($G$62-$G$58)/($G$57-$G$58))</f>
        <v>5</v>
      </c>
      <c r="I106">
        <v>3</v>
      </c>
      <c r="J106" s="31">
        <f t="shared" si="28"/>
        <v>2.5890600315955767</v>
      </c>
      <c r="K106" s="31">
        <f t="shared" si="33"/>
        <v>2.0647709320695102</v>
      </c>
      <c r="L106" s="31">
        <f t="shared" si="34"/>
        <v>3.0354133754607688</v>
      </c>
    </row>
    <row r="107" spans="1:12" x14ac:dyDescent="0.3">
      <c r="A107" t="s">
        <v>79</v>
      </c>
      <c r="B107" s="32">
        <f>4*($H$63-$H$64)/($H$60-$H$64)+1</f>
        <v>3.6666666666666665</v>
      </c>
      <c r="C107" s="32">
        <f t="shared" si="29"/>
        <v>5</v>
      </c>
      <c r="D107" s="32">
        <f t="shared" si="30"/>
        <v>1</v>
      </c>
      <c r="E107" s="32">
        <f t="shared" si="31"/>
        <v>1</v>
      </c>
      <c r="F107" s="32">
        <f t="shared" si="32"/>
        <v>1</v>
      </c>
      <c r="G107" s="32">
        <f>5-(4*($F$63-MIN($F$57:$F$65))/(MAX($F$57:$F$65)-MIN($F$57:$F$65)))</f>
        <v>5</v>
      </c>
      <c r="H107" s="32">
        <f>5-(4*($G$63-$G$58)/($G$57-$G$58))</f>
        <v>5</v>
      </c>
      <c r="I107">
        <v>5</v>
      </c>
      <c r="J107" s="31">
        <f t="shared" si="28"/>
        <v>3.333333333333333</v>
      </c>
      <c r="K107" s="31">
        <f t="shared" si="33"/>
        <v>3.6666666666666661</v>
      </c>
      <c r="L107" s="31">
        <f t="shared" si="34"/>
        <v>2.8888888888888893</v>
      </c>
    </row>
    <row r="108" spans="1:12" x14ac:dyDescent="0.3">
      <c r="A108" t="s">
        <v>80</v>
      </c>
      <c r="B108" s="32">
        <f>4*($H$64-$H$64)/($H$60-$H$64)+1</f>
        <v>1</v>
      </c>
      <c r="C108" s="32">
        <f t="shared" si="29"/>
        <v>1</v>
      </c>
      <c r="D108" s="32">
        <f t="shared" si="30"/>
        <v>5</v>
      </c>
      <c r="E108" s="32">
        <f t="shared" si="31"/>
        <v>5</v>
      </c>
      <c r="F108" s="32">
        <f t="shared" si="32"/>
        <v>5</v>
      </c>
      <c r="G108" s="32">
        <f>5-(4*($F$64-MIN($F$57:$F$65))/(MAX($F$57:$F$65)-MIN($F$57:$F$65)))</f>
        <v>5</v>
      </c>
      <c r="H108" s="32">
        <f>5-(4*($G$64-$G$58)/($G$57-$G$58))</f>
        <v>5</v>
      </c>
      <c r="I108">
        <v>5</v>
      </c>
      <c r="J108" s="31">
        <f t="shared" si="28"/>
        <v>4</v>
      </c>
      <c r="K108" s="31">
        <f t="shared" si="33"/>
        <v>3.5454545454545454</v>
      </c>
      <c r="L108" s="31">
        <f t="shared" si="34"/>
        <v>4.333333333333333</v>
      </c>
    </row>
    <row r="109" spans="1:12" x14ac:dyDescent="0.3">
      <c r="A109" t="s">
        <v>81</v>
      </c>
      <c r="B109" s="32">
        <f>4*($H$65-$H$64)/($H$60-$H$64)+1</f>
        <v>5</v>
      </c>
      <c r="C109" s="32">
        <f t="shared" si="29"/>
        <v>5</v>
      </c>
      <c r="D109" s="32">
        <f>4*(O10-MIN($O$2:$O$10))/(MAX($O$2:$O$10)-MIN($O$2:$O$10))+1</f>
        <v>1</v>
      </c>
      <c r="E109" s="32">
        <f t="shared" si="31"/>
        <v>1</v>
      </c>
      <c r="F109" s="32">
        <f t="shared" si="32"/>
        <v>3.0094786729857819</v>
      </c>
      <c r="G109" s="32">
        <f>5-(4*($F$65-MIN($F$57:$F$65))/(MAX($F$57:$F$65)-MIN($F$57:$F$65)))</f>
        <v>4.8</v>
      </c>
      <c r="H109" s="32">
        <f>5-(4*($G$65-$G$58)/($G$57-$G$58))</f>
        <v>5</v>
      </c>
      <c r="I109">
        <v>5</v>
      </c>
      <c r="J109" s="31">
        <f t="shared" si="28"/>
        <v>3.7261848341232229</v>
      </c>
      <c r="K109" s="31">
        <f t="shared" si="33"/>
        <v>4.0554071520896162</v>
      </c>
      <c r="L109" s="31">
        <f t="shared" si="34"/>
        <v>3.3182464454976301</v>
      </c>
    </row>
    <row r="111" spans="1:12" x14ac:dyDescent="0.3">
      <c r="A111" s="1" t="s">
        <v>82</v>
      </c>
      <c r="B111" t="s">
        <v>99</v>
      </c>
      <c r="C111" t="s">
        <v>100</v>
      </c>
      <c r="D111" t="s">
        <v>101</v>
      </c>
      <c r="E111" t="s">
        <v>102</v>
      </c>
      <c r="F111" t="s">
        <v>103</v>
      </c>
      <c r="G111" t="s">
        <v>104</v>
      </c>
      <c r="H111" t="s">
        <v>105</v>
      </c>
      <c r="I111" t="s">
        <v>106</v>
      </c>
      <c r="J111" t="s">
        <v>110</v>
      </c>
      <c r="K111" t="s">
        <v>108</v>
      </c>
      <c r="L111" t="s">
        <v>109</v>
      </c>
    </row>
    <row r="112" spans="1:12" x14ac:dyDescent="0.3">
      <c r="A112" t="s">
        <v>73</v>
      </c>
      <c r="B112" s="32">
        <f>4*($H$57-$H$64)/($H$60-$H$64)+1</f>
        <v>5</v>
      </c>
      <c r="C112" s="32">
        <f>4*(D13-MAX($D$13:$D$21))/(MIN($D$13:$D$21)-MAX($D$13:$D$21))+1</f>
        <v>4.9631578947368418</v>
      </c>
      <c r="D112" s="32">
        <f>4*(C13-MIN($C$13:$C$21))/(MAX($C$13:$C$21)-MIN($C$13:$C$21))+1</f>
        <v>2</v>
      </c>
      <c r="E112" s="32">
        <f>4*(E13-MIN($E$13:$E$21))/(MAX($E$13:$E$21)-MIN($E$13:$E$21))+1</f>
        <v>3.666666666666667</v>
      </c>
      <c r="F112" s="32">
        <f>5-4*(B13-MIN($B$13:$B$21))/(MAX($B$13:$B$21)-MIN($B$13:$B$21))</f>
        <v>3.1391304347826088</v>
      </c>
      <c r="G112" s="32">
        <f>5-(4*($F$57-MIN($F$57:$F$65))/(MAX($F$57:$F$65)-MIN($F$57:$F$65)))</f>
        <v>5</v>
      </c>
      <c r="H112" s="32">
        <f>5-(4*($G$57-$G$58)/($G$57-$G$58))</f>
        <v>1</v>
      </c>
      <c r="I112">
        <v>5</v>
      </c>
      <c r="J112" s="31">
        <f t="shared" ref="J112:J120" si="35">AVERAGE(B112:I112)</f>
        <v>3.7211193745232647</v>
      </c>
      <c r="K112" s="31">
        <f>(2*(B112+C112+G112)+D112+E112+F112+H112+I112)/11</f>
        <v>4.066555717356632</v>
      </c>
      <c r="L112" s="31">
        <f>(2*(D112+E112+F112+H112)+B112+C112+G112+I112)/12</f>
        <v>3.2978960081362829</v>
      </c>
    </row>
    <row r="113" spans="1:12" x14ac:dyDescent="0.3">
      <c r="A113" s="13" t="s">
        <v>74</v>
      </c>
      <c r="B113" s="32">
        <f>4*($H$58-$H$64)/($H$60-$H$64)+1</f>
        <v>3.2222222222222219</v>
      </c>
      <c r="C113" s="32">
        <f t="shared" ref="C113:C120" si="36">4*(D14-MAX($D$13:$D$21))/(MIN($D$13:$D$21)-MAX($D$13:$D$21))+1</f>
        <v>2.7947368421052641</v>
      </c>
      <c r="D113" s="32">
        <f t="shared" ref="D113:D120" si="37">4*(C14-MIN($C$13:$C$21))/(MAX($C$13:$C$21)-MIN($C$13:$C$21))+1</f>
        <v>3.9999999999999996</v>
      </c>
      <c r="E113" s="32">
        <f t="shared" ref="E113:E120" si="38">4*(E14-MIN($E$13:$E$21))/(MAX($E$13:$E$21)-MIN($E$13:$E$21))+1</f>
        <v>5</v>
      </c>
      <c r="F113" s="32">
        <f t="shared" ref="F113:F120" si="39">5-4*(B14-MIN($B$13:$B$21))/(MAX($B$13:$B$21)-MIN($B$13:$B$21))</f>
        <v>4.0956521739130434</v>
      </c>
      <c r="G113" s="32">
        <f>5-(4*($F$58-MIN($F$57:$F$65))/(MAX($F$57:$F$65)-MIN($F$57:$F$65)))</f>
        <v>5</v>
      </c>
      <c r="H113" s="32">
        <f>5-(4*($G$58-$G$58)/($G$57-$G$58))</f>
        <v>5</v>
      </c>
      <c r="I113">
        <v>5</v>
      </c>
      <c r="J113" s="31">
        <f t="shared" si="35"/>
        <v>4.2640764047800666</v>
      </c>
      <c r="K113" s="31">
        <f t="shared" ref="K113:K120" si="40">(2*(B113+C113+G113)+D113+E113+F113+H113+I113)/11</f>
        <v>4.1026882093243646</v>
      </c>
      <c r="L113" s="31">
        <f t="shared" ref="L113:L120" si="41">(2*(D113+E113+F113+H113)+B113+C113+G113+I113)/12</f>
        <v>4.3506886176794648</v>
      </c>
    </row>
    <row r="114" spans="1:12" x14ac:dyDescent="0.3">
      <c r="A114" t="s">
        <v>75</v>
      </c>
      <c r="B114" s="32">
        <f>4*($H$59-$H$64)/($H$60-$H$64)+1</f>
        <v>5</v>
      </c>
      <c r="C114" s="32">
        <f t="shared" si="36"/>
        <v>4.9631578947368418</v>
      </c>
      <c r="D114" s="32">
        <f t="shared" si="37"/>
        <v>1</v>
      </c>
      <c r="E114" s="32">
        <f t="shared" si="38"/>
        <v>1</v>
      </c>
      <c r="F114" s="32">
        <f t="shared" si="39"/>
        <v>2.7695652173913046</v>
      </c>
      <c r="G114" s="32">
        <f>5-(4*($F$59-MIN($F$57:$F$65))/(MAX($F$57:$F$65)-MIN($F$57:$F$65)))</f>
        <v>5</v>
      </c>
      <c r="H114" s="32">
        <f>5-(4*($G$59-$G$58)/($G$57-$G$58))</f>
        <v>5</v>
      </c>
      <c r="I114">
        <v>5</v>
      </c>
      <c r="J114" s="31">
        <f t="shared" si="35"/>
        <v>3.7165903890160186</v>
      </c>
      <c r="K114" s="31">
        <f t="shared" si="40"/>
        <v>4.0632619097149991</v>
      </c>
      <c r="L114" s="31">
        <f t="shared" si="41"/>
        <v>3.2918573607932875</v>
      </c>
    </row>
    <row r="115" spans="1:12" x14ac:dyDescent="0.3">
      <c r="A115" t="s">
        <v>76</v>
      </c>
      <c r="B115" s="32">
        <f>4*($H$60-$H$64)/($H$60-$H$64)+1</f>
        <v>5</v>
      </c>
      <c r="C115" s="32">
        <f t="shared" si="36"/>
        <v>5</v>
      </c>
      <c r="D115" s="32">
        <f t="shared" si="37"/>
        <v>2.9999999999999996</v>
      </c>
      <c r="E115" s="32">
        <f t="shared" si="38"/>
        <v>2.333333333333333</v>
      </c>
      <c r="F115" s="32">
        <f t="shared" si="39"/>
        <v>3.5130434782608697</v>
      </c>
      <c r="G115" s="32">
        <f>5-(4*($F$60-MIN($F$57:$F$65))/(MAX($F$57:$F$65)-MIN($F$57:$F$65)))</f>
        <v>4.5999999999999996</v>
      </c>
      <c r="H115" s="32">
        <f>5-(4*($G$60-$G$58)/($G$57-$G$58))</f>
        <v>5</v>
      </c>
      <c r="I115">
        <v>5</v>
      </c>
      <c r="J115" s="31">
        <f t="shared" si="35"/>
        <v>4.1807971014492749</v>
      </c>
      <c r="K115" s="31">
        <f t="shared" si="40"/>
        <v>4.3678524374176542</v>
      </c>
      <c r="L115" s="31">
        <f t="shared" si="41"/>
        <v>3.9410628019323668</v>
      </c>
    </row>
    <row r="116" spans="1:12" x14ac:dyDescent="0.3">
      <c r="A116" t="s">
        <v>77</v>
      </c>
      <c r="B116" s="32">
        <f>4*($H$61-$H$64)/($H$60-$H$64)+1</f>
        <v>5</v>
      </c>
      <c r="C116" s="32">
        <f t="shared" si="36"/>
        <v>4.9631578947368418</v>
      </c>
      <c r="D116" s="32">
        <f t="shared" si="37"/>
        <v>1</v>
      </c>
      <c r="E116" s="32">
        <f t="shared" si="38"/>
        <v>2.333333333333333</v>
      </c>
      <c r="F116" s="32">
        <f t="shared" si="39"/>
        <v>2.7695652173913046</v>
      </c>
      <c r="G116" s="32">
        <f>5-(4*($F$61-MIN($F$57:$F$65))/(MAX($F$57:$F$65)-MIN($F$57:$F$65)))</f>
        <v>5</v>
      </c>
      <c r="H116" s="32">
        <f>5-(4*($G$61-$G$58)/($G$57-$G$58))</f>
        <v>5</v>
      </c>
      <c r="I116">
        <v>1</v>
      </c>
      <c r="J116" s="31">
        <f t="shared" si="35"/>
        <v>3.3832570556826846</v>
      </c>
      <c r="K116" s="31">
        <f t="shared" si="40"/>
        <v>3.8208376672907565</v>
      </c>
      <c r="L116" s="31">
        <f t="shared" si="41"/>
        <v>3.1807462496821763</v>
      </c>
    </row>
    <row r="117" spans="1:12" x14ac:dyDescent="0.3">
      <c r="A117" t="s">
        <v>78</v>
      </c>
      <c r="B117" s="32">
        <f>4*($H$62-$H$64)/($H$60-$H$64)+1</f>
        <v>1</v>
      </c>
      <c r="C117" s="32">
        <v>0</v>
      </c>
      <c r="D117" s="32">
        <f t="shared" si="37"/>
        <v>3.9999999999999996</v>
      </c>
      <c r="E117" s="32">
        <f t="shared" si="38"/>
        <v>2.333333333333333</v>
      </c>
      <c r="F117" s="32">
        <f t="shared" si="39"/>
        <v>4.1347826086956525</v>
      </c>
      <c r="G117" s="32">
        <f>5-(4*($F$62-MIN($F$57:$F$65))/(MAX($F$57:$F$65)-MIN($F$57:$F$65)))</f>
        <v>1</v>
      </c>
      <c r="H117" s="32">
        <f>5-(4*($G$62-$G$58)/($G$57-$G$58))</f>
        <v>5</v>
      </c>
      <c r="I117">
        <v>3</v>
      </c>
      <c r="J117" s="31">
        <f t="shared" si="35"/>
        <v>2.5585144927536234</v>
      </c>
      <c r="K117" s="31">
        <f t="shared" si="40"/>
        <v>2.0425559947299075</v>
      </c>
      <c r="L117" s="31">
        <f t="shared" si="41"/>
        <v>2.994685990338164</v>
      </c>
    </row>
    <row r="118" spans="1:12" x14ac:dyDescent="0.3">
      <c r="A118" t="s">
        <v>79</v>
      </c>
      <c r="B118" s="32">
        <f>4*($H$63-$H$64)/($H$60-$H$64)+1</f>
        <v>3.6666666666666665</v>
      </c>
      <c r="C118" s="32">
        <f t="shared" si="36"/>
        <v>4.9631578947368418</v>
      </c>
      <c r="D118" s="32">
        <f t="shared" si="37"/>
        <v>1</v>
      </c>
      <c r="E118" s="32">
        <f t="shared" si="38"/>
        <v>1</v>
      </c>
      <c r="F118" s="32">
        <f t="shared" si="39"/>
        <v>1</v>
      </c>
      <c r="G118" s="32">
        <f>5-(4*($F$63-MIN($F$57:$F$65))/(MAX($F$57:$F$65)-MIN($F$57:$F$65)))</f>
        <v>5</v>
      </c>
      <c r="H118" s="32">
        <f>5-(4*($G$63-$G$58)/($G$57-$G$58))</f>
        <v>5</v>
      </c>
      <c r="I118">
        <v>5</v>
      </c>
      <c r="J118" s="31">
        <f t="shared" si="35"/>
        <v>3.3287280701754387</v>
      </c>
      <c r="K118" s="31">
        <f t="shared" si="40"/>
        <v>3.6599681020733654</v>
      </c>
      <c r="L118" s="31">
        <f t="shared" si="41"/>
        <v>2.8858187134502926</v>
      </c>
    </row>
    <row r="119" spans="1:12" x14ac:dyDescent="0.3">
      <c r="A119" t="s">
        <v>80</v>
      </c>
      <c r="B119" s="32">
        <f>4*($H$64-$H$64)/($H$60-$H$64)+1</f>
        <v>1</v>
      </c>
      <c r="C119" s="32">
        <f t="shared" si="36"/>
        <v>1</v>
      </c>
      <c r="D119" s="32">
        <f t="shared" si="37"/>
        <v>5</v>
      </c>
      <c r="E119" s="32">
        <f t="shared" si="38"/>
        <v>5</v>
      </c>
      <c r="F119" s="32">
        <f t="shared" si="39"/>
        <v>5</v>
      </c>
      <c r="G119" s="32">
        <f>5-(4*($F$64-MIN($F$57:$F$65))/(MAX($F$57:$F$65)-MIN($F$57:$F$65)))</f>
        <v>5</v>
      </c>
      <c r="H119" s="32">
        <f>5-(4*($G$64-$G$58)/($G$57-$G$58))</f>
        <v>5</v>
      </c>
      <c r="I119">
        <v>5</v>
      </c>
      <c r="J119" s="31">
        <f t="shared" si="35"/>
        <v>4</v>
      </c>
      <c r="K119" s="31">
        <f t="shared" si="40"/>
        <v>3.5454545454545454</v>
      </c>
      <c r="L119" s="31">
        <f t="shared" si="41"/>
        <v>4.333333333333333</v>
      </c>
    </row>
    <row r="120" spans="1:12" x14ac:dyDescent="0.3">
      <c r="A120" t="s">
        <v>81</v>
      </c>
      <c r="B120" s="32">
        <f>4*($H$65-$H$64)/($H$60-$H$64)+1</f>
        <v>5</v>
      </c>
      <c r="C120" s="32">
        <f t="shared" si="36"/>
        <v>4.9157894736842112</v>
      </c>
      <c r="D120" s="32">
        <f t="shared" si="37"/>
        <v>1</v>
      </c>
      <c r="E120" s="32">
        <f t="shared" si="38"/>
        <v>1</v>
      </c>
      <c r="F120" s="32">
        <f t="shared" si="39"/>
        <v>2.7826086956521743</v>
      </c>
      <c r="G120" s="32">
        <f>5-(4*($F$65-MIN($F$57:$F$65))/(MAX($F$57:$F$65)-MIN($F$57:$F$65)))</f>
        <v>4.8</v>
      </c>
      <c r="H120" s="32">
        <f>5-(4*($G$65-$G$58)/($G$57-$G$58))</f>
        <v>5</v>
      </c>
      <c r="I120">
        <v>5</v>
      </c>
      <c r="J120" s="31">
        <f t="shared" si="35"/>
        <v>3.6872997711670479</v>
      </c>
      <c r="K120" s="31">
        <f t="shared" si="40"/>
        <v>4.0194716039109633</v>
      </c>
      <c r="L120" s="31">
        <f t="shared" si="41"/>
        <v>3.2734172387490461</v>
      </c>
    </row>
    <row r="122" spans="1:12" x14ac:dyDescent="0.3">
      <c r="A122" s="1" t="s">
        <v>83</v>
      </c>
      <c r="B122" t="s">
        <v>99</v>
      </c>
      <c r="C122" t="s">
        <v>100</v>
      </c>
      <c r="D122" t="s">
        <v>101</v>
      </c>
      <c r="E122" t="s">
        <v>102</v>
      </c>
      <c r="F122" t="s">
        <v>103</v>
      </c>
      <c r="G122" t="s">
        <v>104</v>
      </c>
      <c r="H122" t="s">
        <v>105</v>
      </c>
      <c r="I122" t="s">
        <v>106</v>
      </c>
      <c r="J122" t="s">
        <v>110</v>
      </c>
      <c r="K122" t="s">
        <v>108</v>
      </c>
      <c r="L122" t="s">
        <v>109</v>
      </c>
    </row>
    <row r="123" spans="1:12" x14ac:dyDescent="0.3">
      <c r="A123" t="s">
        <v>73</v>
      </c>
      <c r="B123" s="32">
        <f>4*($H$57-$H$64)/($H$60-$H$64)+1</f>
        <v>5</v>
      </c>
      <c r="C123" s="32">
        <f>4*(J13-MAX($J$13:$J$21))/(MIN($J$13:$J$21)-MAX($J$13:$J$21))+1</f>
        <v>4.8975741239892177</v>
      </c>
      <c r="D123" s="32">
        <f>4*(I13-MIN($I$13:$I$21))/(MAX($I$13:$I$21)-MIN($I$13:$I$21))+1</f>
        <v>2.6</v>
      </c>
      <c r="E123" s="32">
        <f>4*(K13-MIN($K$13:$K$21))/(MAX($K$13:$K$21)-MIN($K$13:$K$21))+1</f>
        <v>4.2</v>
      </c>
      <c r="F123" s="32">
        <f>5-4*(H13-MIN($H$13:$H$21))/(MAX($H$13:$H$21)-MIN($H$13:$H$21))</f>
        <v>1.4259634888438137</v>
      </c>
      <c r="G123" s="32">
        <f>5-(4*($F$57-MIN($F$57:$F$65))/(MAX($F$57:$F$65)-MIN($F$57:$F$65)))</f>
        <v>5</v>
      </c>
      <c r="H123" s="32">
        <f>5-(4*($G$57-$G$58)/($G$57-$G$58))</f>
        <v>1</v>
      </c>
      <c r="I123">
        <v>5</v>
      </c>
      <c r="J123" s="31">
        <f t="shared" ref="J123:J131" si="42">AVERAGE(B123:I123)</f>
        <v>3.6404422016041287</v>
      </c>
      <c r="K123" s="31">
        <f>(2*(B123+C123+G123)+D123+E123+F123+H123+I123)/11</f>
        <v>4.0019192488020225</v>
      </c>
      <c r="L123" s="31">
        <f>(2*(D123+E123+F123+H123)+B123+C123+G123+I123)/12</f>
        <v>3.1957917584730704</v>
      </c>
    </row>
    <row r="124" spans="1:12" x14ac:dyDescent="0.3">
      <c r="A124" s="13" t="s">
        <v>74</v>
      </c>
      <c r="B124" s="32">
        <f>4*($H$58-$H$64)/($H$60-$H$64)+1</f>
        <v>3.2222222222222219</v>
      </c>
      <c r="C124" s="32">
        <f t="shared" ref="C124:C131" si="43">4*(J14-MAX($J$13:$J$21))/(MIN($J$13:$J$21)-MAX($J$13:$J$21))+1</f>
        <v>2.8382749326145551</v>
      </c>
      <c r="D124" s="32">
        <f t="shared" ref="D124:D131" si="44">4*(I14-MIN($I$13:$I$21))/(MAX($I$13:$I$21)-MIN($I$13:$I$21))+1</f>
        <v>4.2</v>
      </c>
      <c r="E124" s="32">
        <f t="shared" ref="E124:E131" si="45">4*(K14-MIN($K$13:$K$21))/(MAX($K$13:$K$21)-MIN($K$13:$K$21))+1</f>
        <v>5</v>
      </c>
      <c r="F124" s="32">
        <f t="shared" ref="F124:F131" si="46">5-4*(H14-MIN($H$13:$H$21))/(MAX($H$13:$H$21)-MIN($H$13:$H$21))</f>
        <v>4.1561866125760645</v>
      </c>
      <c r="G124" s="32">
        <f>5-(4*($F$58-MIN($F$57:$F$65))/(MAX($F$57:$F$65)-MIN($F$57:$F$65)))</f>
        <v>5</v>
      </c>
      <c r="H124" s="32">
        <f>5-(4*($G$58-$G$58)/($G$57-$G$58))</f>
        <v>5</v>
      </c>
      <c r="I124">
        <v>5</v>
      </c>
      <c r="J124" s="31">
        <f t="shared" si="42"/>
        <v>4.3020854709266052</v>
      </c>
      <c r="K124" s="31">
        <f t="shared" ref="K124:K131" si="47">(2*(B124+C124+G124)+D124+E124+F124+H124+I124)/11</f>
        <v>4.1342891747499655</v>
      </c>
      <c r="L124" s="31">
        <f t="shared" ref="L124:L131" si="48">(2*(D124+E124+F124+H124)+B124+C124+G124+I124)/12</f>
        <v>4.3977391983324088</v>
      </c>
    </row>
    <row r="125" spans="1:12" x14ac:dyDescent="0.3">
      <c r="A125" t="s">
        <v>75</v>
      </c>
      <c r="B125" s="32">
        <f>4*($H$59-$H$64)/($H$60-$H$64)+1</f>
        <v>5</v>
      </c>
      <c r="C125" s="32">
        <f t="shared" si="43"/>
        <v>4.8975741239892177</v>
      </c>
      <c r="D125" s="32">
        <f t="shared" si="44"/>
        <v>1</v>
      </c>
      <c r="E125" s="32">
        <f t="shared" si="45"/>
        <v>2.6</v>
      </c>
      <c r="F125" s="32">
        <f t="shared" si="46"/>
        <v>1</v>
      </c>
      <c r="G125" s="32">
        <f>5-(4*($F$59-MIN($F$57:$F$65))/(MAX($F$57:$F$65)-MIN($F$57:$F$65)))</f>
        <v>5</v>
      </c>
      <c r="H125" s="32">
        <f>5-(4*($G$59-$G$58)/($G$57-$G$58))</f>
        <v>5</v>
      </c>
      <c r="I125">
        <v>5</v>
      </c>
      <c r="J125" s="31">
        <f t="shared" si="42"/>
        <v>3.6871967654986522</v>
      </c>
      <c r="K125" s="31">
        <f t="shared" si="47"/>
        <v>4.0359225679980391</v>
      </c>
      <c r="L125" s="31">
        <f t="shared" si="48"/>
        <v>3.2581311769991017</v>
      </c>
    </row>
    <row r="126" spans="1:12" x14ac:dyDescent="0.3">
      <c r="A126" t="s">
        <v>76</v>
      </c>
      <c r="B126" s="32">
        <f>4*($H$60-$H$64)/($H$60-$H$64)+1</f>
        <v>5</v>
      </c>
      <c r="C126" s="32">
        <f t="shared" si="43"/>
        <v>5</v>
      </c>
      <c r="D126" s="32">
        <f t="shared" si="44"/>
        <v>2.6</v>
      </c>
      <c r="E126" s="32">
        <f t="shared" si="45"/>
        <v>4.2</v>
      </c>
      <c r="F126" s="32">
        <f t="shared" si="46"/>
        <v>3.3691683569979718</v>
      </c>
      <c r="G126" s="32">
        <f>5-(4*($F$60-MIN($F$57:$F$65))/(MAX($F$57:$F$65)-MIN($F$57:$F$65)))</f>
        <v>4.5999999999999996</v>
      </c>
      <c r="H126" s="32">
        <f>5-(4*($G$60-$G$58)/($G$57-$G$58))</f>
        <v>5</v>
      </c>
      <c r="I126">
        <v>5</v>
      </c>
      <c r="J126" s="31">
        <f t="shared" si="42"/>
        <v>4.3461460446247466</v>
      </c>
      <c r="K126" s="31">
        <f t="shared" si="47"/>
        <v>4.488106214272543</v>
      </c>
      <c r="L126" s="31">
        <f t="shared" si="48"/>
        <v>4.1615280594996618</v>
      </c>
    </row>
    <row r="127" spans="1:12" x14ac:dyDescent="0.3">
      <c r="A127" t="s">
        <v>77</v>
      </c>
      <c r="B127" s="32">
        <f>4*($H$61-$H$64)/($H$60-$H$64)+1</f>
        <v>5</v>
      </c>
      <c r="C127" s="32">
        <f t="shared" si="43"/>
        <v>4.6226415094339615</v>
      </c>
      <c r="D127" s="32">
        <f t="shared" si="44"/>
        <v>2.6</v>
      </c>
      <c r="E127" s="32">
        <f t="shared" si="45"/>
        <v>1</v>
      </c>
      <c r="F127" s="32">
        <f t="shared" si="46"/>
        <v>2.1237322515212984</v>
      </c>
      <c r="G127" s="32">
        <f>5-(4*($F$61-MIN($F$57:$F$65))/(MAX($F$57:$F$65)-MIN($F$57:$F$65)))</f>
        <v>5</v>
      </c>
      <c r="H127" s="32">
        <f>5-(4*($G$61-$G$58)/($G$57-$G$58))</f>
        <v>5</v>
      </c>
      <c r="I127">
        <v>1</v>
      </c>
      <c r="J127" s="31">
        <f t="shared" si="42"/>
        <v>3.2932967201194074</v>
      </c>
      <c r="K127" s="31">
        <f t="shared" si="47"/>
        <v>3.7244559336717473</v>
      </c>
      <c r="L127" s="31">
        <f t="shared" si="48"/>
        <v>3.0891755010397133</v>
      </c>
    </row>
    <row r="128" spans="1:12" x14ac:dyDescent="0.3">
      <c r="A128" t="s">
        <v>78</v>
      </c>
      <c r="B128" s="32">
        <f>4*($H$62-$H$64)/($H$60-$H$64)+1</f>
        <v>1</v>
      </c>
      <c r="C128" s="32">
        <v>0</v>
      </c>
      <c r="D128" s="32">
        <f t="shared" si="44"/>
        <v>4.2</v>
      </c>
      <c r="E128" s="32">
        <f t="shared" si="45"/>
        <v>5</v>
      </c>
      <c r="F128" s="32">
        <f t="shared" si="46"/>
        <v>3.5192697768762677</v>
      </c>
      <c r="G128" s="32">
        <f>5-(4*($F$62-MIN($F$57:$F$65))/(MAX($F$57:$F$65)-MIN($F$57:$F$65)))</f>
        <v>1</v>
      </c>
      <c r="H128" s="32">
        <f>5-(4*($G$62-$G$58)/($G$57-$G$58))</f>
        <v>5</v>
      </c>
      <c r="I128">
        <v>3</v>
      </c>
      <c r="J128" s="31">
        <f t="shared" si="42"/>
        <v>2.8399087221095334</v>
      </c>
      <c r="K128" s="31">
        <f t="shared" si="47"/>
        <v>2.2472063433523881</v>
      </c>
      <c r="L128" s="31">
        <f t="shared" si="48"/>
        <v>3.3698782961460445</v>
      </c>
    </row>
    <row r="129" spans="1:12" x14ac:dyDescent="0.3">
      <c r="A129" t="s">
        <v>79</v>
      </c>
      <c r="B129" s="32">
        <f>4*($H$63-$H$64)/($H$60-$H$64)+1</f>
        <v>3.6666666666666665</v>
      </c>
      <c r="C129" s="32">
        <f t="shared" si="43"/>
        <v>3.2749326145552562</v>
      </c>
      <c r="D129" s="32">
        <f t="shared" si="44"/>
        <v>3.4</v>
      </c>
      <c r="E129" s="32">
        <f t="shared" si="45"/>
        <v>5</v>
      </c>
      <c r="F129" s="32">
        <f t="shared" si="46"/>
        <v>2.2494929006085194</v>
      </c>
      <c r="G129" s="32">
        <f>5-(4*($F$63-MIN($F$57:$F$65))/(MAX($F$57:$F$65)-MIN($F$57:$F$65)))</f>
        <v>5</v>
      </c>
      <c r="H129" s="32">
        <f>5-(4*($G$63-$G$58)/($G$57-$G$58))</f>
        <v>5</v>
      </c>
      <c r="I129">
        <v>5</v>
      </c>
      <c r="J129" s="31">
        <f t="shared" si="42"/>
        <v>4.073886522728805</v>
      </c>
      <c r="K129" s="31">
        <f t="shared" si="47"/>
        <v>4.0484264966411239</v>
      </c>
      <c r="L129" s="31">
        <f t="shared" si="48"/>
        <v>4.0200487568699135</v>
      </c>
    </row>
    <row r="130" spans="1:12" x14ac:dyDescent="0.3">
      <c r="A130" t="s">
        <v>80</v>
      </c>
      <c r="B130" s="32">
        <f>4*($H$64-$H$64)/($H$60-$H$64)+1</f>
        <v>1</v>
      </c>
      <c r="C130" s="32">
        <f t="shared" si="43"/>
        <v>1</v>
      </c>
      <c r="D130" s="32">
        <f t="shared" si="44"/>
        <v>5</v>
      </c>
      <c r="E130" s="32">
        <f t="shared" si="45"/>
        <v>5</v>
      </c>
      <c r="F130" s="32">
        <f t="shared" si="46"/>
        <v>5</v>
      </c>
      <c r="G130" s="32">
        <f>5-(4*($F$64-MIN($F$57:$F$65))/(MAX($F$57:$F$65)-MIN($F$57:$F$65)))</f>
        <v>5</v>
      </c>
      <c r="H130" s="32">
        <f>5-(4*($G$64-$G$58)/($G$57-$G$58))</f>
        <v>5</v>
      </c>
      <c r="I130">
        <v>5</v>
      </c>
      <c r="J130" s="31">
        <f t="shared" si="42"/>
        <v>4</v>
      </c>
      <c r="K130" s="31">
        <f t="shared" si="47"/>
        <v>3.5454545454545454</v>
      </c>
      <c r="L130" s="31">
        <f t="shared" si="48"/>
        <v>4.333333333333333</v>
      </c>
    </row>
    <row r="131" spans="1:12" x14ac:dyDescent="0.3">
      <c r="A131" t="s">
        <v>81</v>
      </c>
      <c r="B131" s="32">
        <f>4*($H$65-$H$64)/($H$60-$H$64)+1</f>
        <v>5</v>
      </c>
      <c r="C131" s="32">
        <f t="shared" si="43"/>
        <v>4.6118598382749321</v>
      </c>
      <c r="D131" s="32">
        <f t="shared" si="44"/>
        <v>2.6</v>
      </c>
      <c r="E131" s="32">
        <f t="shared" si="45"/>
        <v>5</v>
      </c>
      <c r="F131" s="32">
        <f t="shared" si="46"/>
        <v>2.1115618661257609</v>
      </c>
      <c r="G131" s="32">
        <f>5-(4*($F$65-MIN($F$57:$F$65))/(MAX($F$57:$F$65)-MIN($F$57:$F$65)))</f>
        <v>4.8</v>
      </c>
      <c r="H131" s="32">
        <f>5-(4*($G$65-$G$58)/($G$57-$G$58))</f>
        <v>5</v>
      </c>
      <c r="I131">
        <v>5</v>
      </c>
      <c r="J131" s="31">
        <f t="shared" si="42"/>
        <v>4.2654277130500873</v>
      </c>
      <c r="K131" s="31">
        <f t="shared" si="47"/>
        <v>4.4122983220614209</v>
      </c>
      <c r="L131" s="31">
        <f t="shared" si="48"/>
        <v>4.0695819642105375</v>
      </c>
    </row>
    <row r="133" spans="1:12" x14ac:dyDescent="0.3">
      <c r="A133" s="1" t="s">
        <v>84</v>
      </c>
      <c r="B133" t="s">
        <v>99</v>
      </c>
      <c r="C133" t="s">
        <v>100</v>
      </c>
      <c r="D133" t="s">
        <v>101</v>
      </c>
      <c r="E133" t="s">
        <v>102</v>
      </c>
      <c r="F133" t="s">
        <v>103</v>
      </c>
      <c r="G133" t="s">
        <v>104</v>
      </c>
      <c r="H133" t="s">
        <v>105</v>
      </c>
      <c r="I133" t="s">
        <v>106</v>
      </c>
      <c r="J133" t="s">
        <v>110</v>
      </c>
      <c r="K133" t="s">
        <v>108</v>
      </c>
      <c r="L133" t="s">
        <v>109</v>
      </c>
    </row>
    <row r="134" spans="1:12" x14ac:dyDescent="0.3">
      <c r="A134" t="s">
        <v>73</v>
      </c>
      <c r="B134" s="32">
        <f>4*($H$57-$H$64)/($H$60-$H$64)+1</f>
        <v>5</v>
      </c>
      <c r="C134" s="32">
        <f>4*(P13-MAX($P$13:$P$21))/(MIN($P$13:$P$21)-MAX($P$13:$P$21))+1</f>
        <v>4.6486486486486491</v>
      </c>
      <c r="D134" s="32">
        <f>4*(O13-MIN($O$13:$O$21))/(MAX($O$13:$O$21)-MIN($O$13:$O$21))+1</f>
        <v>2</v>
      </c>
      <c r="E134" s="32">
        <f>4*(Q13-MIN($Q$13:$Q$21))/(MAX($Q$13:$Q$21)-MIN($Q$13:$Q$21))+1</f>
        <v>5</v>
      </c>
      <c r="F134" s="32">
        <f>5-4*(N13-MIN($N$13:$N$21))/(MAX($N$13:$N$21)-MIN($N$13:$N$21))</f>
        <v>1.603351955307263</v>
      </c>
      <c r="G134" s="32">
        <f>5-(4*($F$57-MIN($F$57:$F$65))/(MAX($F$57:$F$65)-MIN($F$57:$F$65)))</f>
        <v>5</v>
      </c>
      <c r="H134" s="32">
        <f>5-(4*($G$57-$G$58)/($G$57-$G$58))</f>
        <v>1</v>
      </c>
      <c r="I134">
        <v>5</v>
      </c>
      <c r="J134" s="31">
        <f t="shared" ref="J134:J142" si="49">AVERAGE(B134:I134)</f>
        <v>3.6565000754944892</v>
      </c>
      <c r="K134" s="31">
        <f>(2*(B134+C134+G134)+D134+E134+F134+H134+I134)/11</f>
        <v>3.9909681138731417</v>
      </c>
      <c r="L134" s="31">
        <f>(2*(D134+E134+F134+H134)+B134+C134+G134+I134)/12</f>
        <v>3.2379460466052645</v>
      </c>
    </row>
    <row r="135" spans="1:12" x14ac:dyDescent="0.3">
      <c r="A135" s="13" t="s">
        <v>74</v>
      </c>
      <c r="B135" s="32">
        <f>4*($H$58-$H$64)/($H$60-$H$64)+1</f>
        <v>3.2222222222222219</v>
      </c>
      <c r="C135" s="32">
        <f t="shared" ref="C135:C142" si="50">4*(P14-MAX($P$13:$P$21))/(MIN($P$13:$P$21)-MAX($P$13:$P$21))+1</f>
        <v>2.8432432432432435</v>
      </c>
      <c r="D135" s="32">
        <f t="shared" ref="D135:D142" si="51">4*(O14-MIN($O$13:$O$21))/(MAX($O$13:$O$21)-MIN($O$13:$O$21))+1</f>
        <v>3.9999999999999996</v>
      </c>
      <c r="E135" s="32">
        <f t="shared" ref="E135:E142" si="52">4*(Q14-MIN($Q$13:$Q$21))/(MAX($Q$13:$Q$21)-MIN($Q$13:$Q$21))+1</f>
        <v>5</v>
      </c>
      <c r="F135" s="32">
        <f t="shared" ref="F135:F142" si="53">5-4*(N14-MIN($N$13:$N$21))/(MAX($N$13:$N$21)-MIN($N$13:$N$21))</f>
        <v>4.0703910614525141</v>
      </c>
      <c r="G135" s="32">
        <f>5-(4*($F$58-MIN($F$57:$F$65))/(MAX($F$57:$F$65)-MIN($F$57:$F$65)))</f>
        <v>5</v>
      </c>
      <c r="H135" s="32">
        <f>5-(4*($G$58-$G$58)/($G$57-$G$58))</f>
        <v>5</v>
      </c>
      <c r="I135">
        <v>5</v>
      </c>
      <c r="J135" s="31">
        <f t="shared" si="49"/>
        <v>4.266982065864747</v>
      </c>
      <c r="K135" s="31">
        <f t="shared" ref="K135:K142" si="54">(2*(B135+C135+G135)+D135+E135+F135+H135+I135)/11</f>
        <v>4.1092110902166761</v>
      </c>
      <c r="L135" s="31">
        <f t="shared" ref="L135:L142" si="55">(2*(D135+E135+F135+H135)+B135+C135+G135+I135)/12</f>
        <v>4.3505206323642076</v>
      </c>
    </row>
    <row r="136" spans="1:12" x14ac:dyDescent="0.3">
      <c r="A136" t="s">
        <v>75</v>
      </c>
      <c r="B136" s="32">
        <f>4*($H$59-$H$64)/($H$60-$H$64)+1</f>
        <v>5</v>
      </c>
      <c r="C136" s="32">
        <f t="shared" si="50"/>
        <v>4.6486486486486491</v>
      </c>
      <c r="D136" s="32">
        <f t="shared" si="51"/>
        <v>1</v>
      </c>
      <c r="E136" s="32">
        <f t="shared" si="52"/>
        <v>1</v>
      </c>
      <c r="F136" s="32">
        <f t="shared" si="53"/>
        <v>1</v>
      </c>
      <c r="G136" s="32">
        <f>5-(4*($F$59-MIN($F$57:$F$65))/(MAX($F$57:$F$65)-MIN($F$57:$F$65)))</f>
        <v>5</v>
      </c>
      <c r="H136" s="32">
        <f>5-(4*($G$59-$G$58)/($G$57-$G$58))</f>
        <v>5</v>
      </c>
      <c r="I136">
        <v>5</v>
      </c>
      <c r="J136" s="31">
        <f t="shared" si="49"/>
        <v>3.4560810810810811</v>
      </c>
      <c r="K136" s="31">
        <f t="shared" si="54"/>
        <v>3.8452088452088451</v>
      </c>
      <c r="L136" s="31">
        <f t="shared" si="55"/>
        <v>2.9707207207207205</v>
      </c>
    </row>
    <row r="137" spans="1:12" x14ac:dyDescent="0.3">
      <c r="A137" t="s">
        <v>76</v>
      </c>
      <c r="B137" s="32">
        <f>4*($H$60-$H$64)/($H$60-$H$64)+1</f>
        <v>5</v>
      </c>
      <c r="C137" s="32">
        <f t="shared" si="50"/>
        <v>5</v>
      </c>
      <c r="D137" s="32">
        <f t="shared" si="51"/>
        <v>2</v>
      </c>
      <c r="E137" s="32">
        <f t="shared" si="52"/>
        <v>3.0000000000000004</v>
      </c>
      <c r="F137" s="32">
        <f t="shared" si="53"/>
        <v>3.1675977653631291</v>
      </c>
      <c r="G137" s="32">
        <f>5-(4*($F$60-MIN($F$57:$F$65))/(MAX($F$57:$F$65)-MIN($F$57:$F$65)))</f>
        <v>4.5999999999999996</v>
      </c>
      <c r="H137" s="32">
        <f>5-(4*($G$60-$G$58)/($G$57-$G$58))</f>
        <v>5</v>
      </c>
      <c r="I137">
        <v>5</v>
      </c>
      <c r="J137" s="31">
        <f t="shared" si="49"/>
        <v>4.095949720670391</v>
      </c>
      <c r="K137" s="31">
        <f t="shared" si="54"/>
        <v>4.3061452513966483</v>
      </c>
      <c r="L137" s="31">
        <f t="shared" si="55"/>
        <v>3.8279329608938553</v>
      </c>
    </row>
    <row r="138" spans="1:12" x14ac:dyDescent="0.3">
      <c r="A138" t="s">
        <v>77</v>
      </c>
      <c r="B138" s="32">
        <f>4*($H$61-$H$64)/($H$60-$H$64)+1</f>
        <v>5</v>
      </c>
      <c r="C138" s="32">
        <f t="shared" si="50"/>
        <v>4.6270270270270277</v>
      </c>
      <c r="D138" s="32">
        <f t="shared" si="51"/>
        <v>2</v>
      </c>
      <c r="E138" s="32">
        <f t="shared" si="52"/>
        <v>5</v>
      </c>
      <c r="F138" s="32">
        <f t="shared" si="53"/>
        <v>1.8089385474860342</v>
      </c>
      <c r="G138" s="32">
        <f>5-(4*($F$61-MIN($F$57:$F$65))/(MAX($F$57:$F$65)-MIN($F$57:$F$65)))</f>
        <v>5</v>
      </c>
      <c r="H138" s="32">
        <f>5-(4*($G$61-$G$58)/($G$57-$G$58))</f>
        <v>5</v>
      </c>
      <c r="I138">
        <v>1</v>
      </c>
      <c r="J138" s="31">
        <f t="shared" si="49"/>
        <v>3.6794956968141324</v>
      </c>
      <c r="K138" s="31">
        <f t="shared" si="54"/>
        <v>4.005726600140008</v>
      </c>
      <c r="L138" s="31">
        <f t="shared" si="55"/>
        <v>3.6037420101665916</v>
      </c>
    </row>
    <row r="139" spans="1:12" x14ac:dyDescent="0.3">
      <c r="A139" t="s">
        <v>78</v>
      </c>
      <c r="B139" s="32">
        <f>4*($H$62-$H$64)/($H$60-$H$64)+1</f>
        <v>1</v>
      </c>
      <c r="C139" s="32">
        <v>0</v>
      </c>
      <c r="D139" s="32">
        <f t="shared" si="51"/>
        <v>3.9999999999999996</v>
      </c>
      <c r="E139" s="32">
        <f t="shared" si="52"/>
        <v>5</v>
      </c>
      <c r="F139" s="32">
        <f t="shared" si="53"/>
        <v>3.3687150837988833</v>
      </c>
      <c r="G139" s="32">
        <f>5-(4*($F$62-MIN($F$57:$F$65))/(MAX($F$57:$F$65)-MIN($F$57:$F$65)))</f>
        <v>1</v>
      </c>
      <c r="H139" s="32">
        <f>5-(4*($G$62-$G$58)/($G$57-$G$58))</f>
        <v>5</v>
      </c>
      <c r="I139">
        <v>3</v>
      </c>
      <c r="J139" s="31">
        <f t="shared" si="49"/>
        <v>2.7960893854748603</v>
      </c>
      <c r="K139" s="31">
        <f t="shared" si="54"/>
        <v>2.2153377348908077</v>
      </c>
      <c r="L139" s="31">
        <f t="shared" si="55"/>
        <v>3.3114525139664805</v>
      </c>
    </row>
    <row r="140" spans="1:12" x14ac:dyDescent="0.3">
      <c r="A140" t="s">
        <v>79</v>
      </c>
      <c r="B140" s="32">
        <f>4*($H$63-$H$64)/($H$60-$H$64)+1</f>
        <v>3.6666666666666665</v>
      </c>
      <c r="C140" s="32">
        <f t="shared" si="50"/>
        <v>3.2810810810810813</v>
      </c>
      <c r="D140" s="32">
        <f t="shared" si="51"/>
        <v>2.9999999999999996</v>
      </c>
      <c r="E140" s="32">
        <f t="shared" si="52"/>
        <v>5</v>
      </c>
      <c r="F140" s="32">
        <f t="shared" si="53"/>
        <v>1.9698324022346378</v>
      </c>
      <c r="G140" s="32">
        <f>5-(4*($F$63-MIN($F$57:$F$65))/(MAX($F$57:$F$65)-MIN($F$57:$F$65)))</f>
        <v>5</v>
      </c>
      <c r="H140" s="32">
        <f>5-(4*($G$63-$G$58)/($G$57-$G$58))</f>
        <v>5</v>
      </c>
      <c r="I140">
        <v>5</v>
      </c>
      <c r="J140" s="31">
        <f t="shared" si="49"/>
        <v>3.9896975187477981</v>
      </c>
      <c r="K140" s="31">
        <f t="shared" si="54"/>
        <v>3.9877570816118304</v>
      </c>
      <c r="L140" s="31">
        <f t="shared" si="55"/>
        <v>3.9072843793514185</v>
      </c>
    </row>
    <row r="141" spans="1:12" x14ac:dyDescent="0.3">
      <c r="A141" t="s">
        <v>80</v>
      </c>
      <c r="B141" s="32">
        <f>4*($H$64-$H$64)/($H$60-$H$64)+1</f>
        <v>1</v>
      </c>
      <c r="C141" s="32">
        <f t="shared" si="50"/>
        <v>1</v>
      </c>
      <c r="D141" s="32">
        <f t="shared" si="51"/>
        <v>5</v>
      </c>
      <c r="E141" s="32">
        <f t="shared" si="52"/>
        <v>5</v>
      </c>
      <c r="F141" s="32">
        <f t="shared" si="53"/>
        <v>5</v>
      </c>
      <c r="G141" s="32">
        <f>5-(4*($F$64-MIN($F$57:$F$65))/(MAX($F$57:$F$65)-MIN($F$57:$F$65)))</f>
        <v>5</v>
      </c>
      <c r="H141" s="32">
        <f>5-(4*($G$64-$G$58)/($G$57-$G$58))</f>
        <v>5</v>
      </c>
      <c r="I141">
        <v>5</v>
      </c>
      <c r="J141" s="31">
        <f t="shared" si="49"/>
        <v>4</v>
      </c>
      <c r="K141" s="31">
        <f t="shared" si="54"/>
        <v>3.5454545454545454</v>
      </c>
      <c r="L141" s="31">
        <f t="shared" si="55"/>
        <v>4.333333333333333</v>
      </c>
    </row>
    <row r="142" spans="1:12" x14ac:dyDescent="0.3">
      <c r="A142" t="s">
        <v>81</v>
      </c>
      <c r="B142" s="32">
        <f>4*($H$65-$H$64)/($H$60-$H$64)+1</f>
        <v>5</v>
      </c>
      <c r="C142" s="32">
        <f t="shared" si="50"/>
        <v>4.6270270270270277</v>
      </c>
      <c r="D142" s="32">
        <f t="shared" si="51"/>
        <v>2</v>
      </c>
      <c r="E142" s="32">
        <f t="shared" si="52"/>
        <v>5</v>
      </c>
      <c r="F142" s="32">
        <f t="shared" si="53"/>
        <v>1.8044692737430177</v>
      </c>
      <c r="G142" s="32">
        <f>5-(4*($F$65-MIN($F$57:$F$65))/(MAX($F$57:$F$65)-MIN($F$57:$F$65)))</f>
        <v>4.8</v>
      </c>
      <c r="H142" s="32">
        <f>5-(4*($G$65-$G$58)/($G$57-$G$58))</f>
        <v>5</v>
      </c>
      <c r="I142">
        <v>5</v>
      </c>
      <c r="J142" s="31">
        <f t="shared" si="49"/>
        <v>4.1539370375962559</v>
      </c>
      <c r="K142" s="31">
        <f t="shared" si="54"/>
        <v>4.3325930297997335</v>
      </c>
      <c r="L142" s="31">
        <f t="shared" si="55"/>
        <v>3.9196637978760882</v>
      </c>
    </row>
    <row r="144" spans="1:12" x14ac:dyDescent="0.3">
      <c r="A144" s="1" t="s">
        <v>85</v>
      </c>
      <c r="B144" t="s">
        <v>99</v>
      </c>
      <c r="C144" t="s">
        <v>100</v>
      </c>
      <c r="D144" t="s">
        <v>101</v>
      </c>
      <c r="E144" t="s">
        <v>102</v>
      </c>
      <c r="F144" t="s">
        <v>103</v>
      </c>
      <c r="G144" t="s">
        <v>104</v>
      </c>
      <c r="H144" t="s">
        <v>105</v>
      </c>
      <c r="I144" t="s">
        <v>106</v>
      </c>
      <c r="J144" t="s">
        <v>110</v>
      </c>
      <c r="K144" t="s">
        <v>108</v>
      </c>
      <c r="L144" t="s">
        <v>109</v>
      </c>
    </row>
    <row r="145" spans="1:12" x14ac:dyDescent="0.3">
      <c r="A145" t="s">
        <v>73</v>
      </c>
      <c r="B145" s="32">
        <f>4*($H$57-$H$64)/($H$60-$H$64)+1</f>
        <v>5</v>
      </c>
      <c r="C145" s="32">
        <f>4*(D24-MAX($D$24:$D$32))/(MIN($D$24:$D$32)-MAX($D$24:$D$32))+1</f>
        <v>4.6833333333333336</v>
      </c>
      <c r="D145" s="32">
        <f>4*(C24-MIN($C$24:$C$32))/(MAX($C$24:$C$32)-MIN($C$24:$C$32))+1</f>
        <v>2</v>
      </c>
      <c r="E145" s="32">
        <f>4*(E24-MIN($E$24:$E$32))/(MAX($E$24:$E$32)-MIN($E$24:$E$32))+1</f>
        <v>5</v>
      </c>
      <c r="F145" s="32">
        <f>5-4*(B24-MIN($B$24:$B$32))/(MAX($B$24:$B$32)-MIN($B$24:$B$32))</f>
        <v>1.6619859578736209</v>
      </c>
      <c r="G145" s="32">
        <f>5-(4*($F$57-MIN($F$57:$F$65))/(MAX($F$57:$F$65)-MIN($F$57:$F$65)))</f>
        <v>5</v>
      </c>
      <c r="H145" s="32">
        <f>5-(4*($G$57-$G$58)/($G$57-$G$58))</f>
        <v>1</v>
      </c>
      <c r="I145">
        <v>5</v>
      </c>
      <c r="J145" s="31">
        <f t="shared" ref="J145:J153" si="56">AVERAGE(B145:I145)</f>
        <v>3.6681649114008694</v>
      </c>
      <c r="K145" s="31">
        <f>(2*(B145+C145+G145)+D145+E145+F145+H145+I145)/11</f>
        <v>4.002604784049117</v>
      </c>
      <c r="L145" s="31">
        <f>(2*(D145+E145+F145+H145)+B145+C145+G145+I145)/12</f>
        <v>3.2506087707567146</v>
      </c>
    </row>
    <row r="146" spans="1:12" x14ac:dyDescent="0.3">
      <c r="A146" s="13" t="s">
        <v>74</v>
      </c>
      <c r="B146" s="32">
        <f>4*($H$58-$H$64)/($H$60-$H$64)+1</f>
        <v>3.2222222222222219</v>
      </c>
      <c r="C146" s="32">
        <f t="shared" ref="C146:C153" si="57">4*(D25-MAX($D$24:$D$32))/(MIN($D$24:$D$32)-MAX($D$24:$D$32))+1</f>
        <v>2.8944444444444444</v>
      </c>
      <c r="D146" s="32">
        <f t="shared" ref="D146:D153" si="58">4*(C25-MIN($C$24:$C$32))/(MAX($C$24:$C$32)-MIN($C$24:$C$32))+1</f>
        <v>3.9999999999999996</v>
      </c>
      <c r="E146" s="32">
        <f t="shared" ref="E146:E153" si="59">4*(E25-MIN($E$24:$E$32))/(MAX($E$24:$E$32)-MIN($E$24:$E$32))+1</f>
        <v>5</v>
      </c>
      <c r="F146" s="32">
        <f t="shared" ref="F146:F153" si="60">5-4*(B25-MIN($B$24:$B$32))/(MAX($B$24:$B$32)-MIN($B$24:$B$32))</f>
        <v>4.5787362086258776</v>
      </c>
      <c r="G146" s="32">
        <f>5-(4*($F$58-MIN($F$57:$F$65))/(MAX($F$57:$F$65)-MIN($F$57:$F$65)))</f>
        <v>5</v>
      </c>
      <c r="H146" s="32">
        <f>5-(4*($G$58-$G$58)/($G$57-$G$58))</f>
        <v>5</v>
      </c>
      <c r="I146">
        <v>5</v>
      </c>
      <c r="J146" s="31">
        <f t="shared" si="56"/>
        <v>4.336925359411568</v>
      </c>
      <c r="K146" s="31">
        <f t="shared" ref="K146:K153" si="61">(2*(B146+C146+G146)+D146+E146+F146+H146+I146)/11</f>
        <v>4.1647335947235646</v>
      </c>
      <c r="L146" s="31">
        <f t="shared" ref="L146:L153" si="62">(2*(D146+E146+F146+H146)+B146+C146+G146+I146)/12</f>
        <v>4.4395115903265348</v>
      </c>
    </row>
    <row r="147" spans="1:12" x14ac:dyDescent="0.3">
      <c r="A147" t="s">
        <v>75</v>
      </c>
      <c r="B147" s="32">
        <f>4*($H$59-$H$64)/($H$60-$H$64)+1</f>
        <v>5</v>
      </c>
      <c r="C147" s="32">
        <f t="shared" si="57"/>
        <v>4.6833333333333336</v>
      </c>
      <c r="D147" s="32">
        <f t="shared" si="58"/>
        <v>1</v>
      </c>
      <c r="E147" s="32">
        <f t="shared" si="59"/>
        <v>1</v>
      </c>
      <c r="F147" s="32">
        <f t="shared" si="60"/>
        <v>1</v>
      </c>
      <c r="G147" s="32">
        <f>5-(4*($F$59-MIN($F$57:$F$65))/(MAX($F$57:$F$65)-MIN($F$57:$F$65)))</f>
        <v>5</v>
      </c>
      <c r="H147" s="32">
        <f>5-(4*($G$59-$G$58)/($G$57-$G$58))</f>
        <v>5</v>
      </c>
      <c r="I147">
        <v>5</v>
      </c>
      <c r="J147" s="31">
        <f t="shared" si="56"/>
        <v>3.4604166666666667</v>
      </c>
      <c r="K147" s="31">
        <f t="shared" si="61"/>
        <v>3.8515151515151516</v>
      </c>
      <c r="L147" s="31">
        <f t="shared" si="62"/>
        <v>2.9736111111111114</v>
      </c>
    </row>
    <row r="148" spans="1:12" x14ac:dyDescent="0.3">
      <c r="A148" t="s">
        <v>76</v>
      </c>
      <c r="B148" s="32">
        <f>4*($H$60-$H$64)/($H$60-$H$64)+1</f>
        <v>5</v>
      </c>
      <c r="C148" s="32">
        <f t="shared" si="57"/>
        <v>5</v>
      </c>
      <c r="D148" s="32">
        <f t="shared" si="58"/>
        <v>2</v>
      </c>
      <c r="E148" s="32">
        <f t="shared" si="59"/>
        <v>3.0000000000000004</v>
      </c>
      <c r="F148" s="32">
        <f t="shared" si="60"/>
        <v>1.7101303911735202</v>
      </c>
      <c r="G148" s="32">
        <f>5-(4*($F$60-MIN($F$57:$F$65))/(MAX($F$57:$F$65)-MIN($F$57:$F$65)))</f>
        <v>4.5999999999999996</v>
      </c>
      <c r="H148" s="32">
        <f>5-(4*($G$60-$G$58)/($G$57-$G$58))</f>
        <v>5</v>
      </c>
      <c r="I148">
        <v>5</v>
      </c>
      <c r="J148" s="31">
        <f t="shared" si="56"/>
        <v>3.9137662988966904</v>
      </c>
      <c r="K148" s="31">
        <f t="shared" si="61"/>
        <v>4.1736482173794114</v>
      </c>
      <c r="L148" s="31">
        <f t="shared" si="62"/>
        <v>3.5850217318622537</v>
      </c>
    </row>
    <row r="149" spans="1:12" x14ac:dyDescent="0.3">
      <c r="A149" t="s">
        <v>77</v>
      </c>
      <c r="B149" s="32">
        <f>4*($H$61-$H$64)/($H$60-$H$64)+1</f>
        <v>5</v>
      </c>
      <c r="C149" s="32">
        <f t="shared" si="57"/>
        <v>4.6833333333333336</v>
      </c>
      <c r="D149" s="32">
        <f t="shared" si="58"/>
        <v>2</v>
      </c>
      <c r="E149" s="32">
        <f t="shared" si="59"/>
        <v>5</v>
      </c>
      <c r="F149" s="32">
        <f t="shared" si="60"/>
        <v>1.9227683049147437</v>
      </c>
      <c r="G149" s="32">
        <f>5-(4*($F$61-MIN($F$57:$F$65))/(MAX($F$57:$F$65)-MIN($F$57:$F$65)))</f>
        <v>5</v>
      </c>
      <c r="H149" s="32">
        <f>5-(4*($G$61-$G$58)/($G$57-$G$58))</f>
        <v>5</v>
      </c>
      <c r="I149">
        <v>1</v>
      </c>
      <c r="J149" s="31">
        <f t="shared" si="56"/>
        <v>3.7007627047810097</v>
      </c>
      <c r="K149" s="31">
        <f t="shared" si="61"/>
        <v>4.026312270143765</v>
      </c>
      <c r="L149" s="31">
        <f t="shared" si="62"/>
        <v>3.6274058285969013</v>
      </c>
    </row>
    <row r="150" spans="1:12" x14ac:dyDescent="0.3">
      <c r="A150" t="s">
        <v>78</v>
      </c>
      <c r="B150" s="32">
        <f>4*($H$62-$H$64)/($H$60-$H$64)+1</f>
        <v>1</v>
      </c>
      <c r="C150" s="32">
        <v>0</v>
      </c>
      <c r="D150" s="32">
        <f t="shared" si="58"/>
        <v>3.9999999999999996</v>
      </c>
      <c r="E150" s="32">
        <f t="shared" si="59"/>
        <v>5</v>
      </c>
      <c r="F150" s="32">
        <f t="shared" si="60"/>
        <v>3.5356068204613842</v>
      </c>
      <c r="G150" s="32">
        <f>5-(4*($F$62-MIN($F$57:$F$65))/(MAX($F$57:$F$65)-MIN($F$57:$F$65)))</f>
        <v>1</v>
      </c>
      <c r="H150" s="32">
        <f>5-(4*($G$62-$G$58)/($G$57-$G$58))</f>
        <v>5</v>
      </c>
      <c r="I150">
        <v>3</v>
      </c>
      <c r="J150" s="31">
        <f t="shared" si="56"/>
        <v>2.8169508525576727</v>
      </c>
      <c r="K150" s="31">
        <f t="shared" si="61"/>
        <v>2.230509710951035</v>
      </c>
      <c r="L150" s="31">
        <f t="shared" si="62"/>
        <v>3.3392678034102303</v>
      </c>
    </row>
    <row r="151" spans="1:12" x14ac:dyDescent="0.3">
      <c r="A151" t="s">
        <v>79</v>
      </c>
      <c r="B151" s="32">
        <f>4*($H$63-$H$64)/($H$60-$H$64)+1</f>
        <v>3.6666666666666665</v>
      </c>
      <c r="C151" s="32">
        <f t="shared" si="57"/>
        <v>3.3444444444444446</v>
      </c>
      <c r="D151" s="32">
        <f t="shared" si="58"/>
        <v>2.9999999999999996</v>
      </c>
      <c r="E151" s="32">
        <f t="shared" si="59"/>
        <v>5</v>
      </c>
      <c r="F151" s="32">
        <f t="shared" si="60"/>
        <v>2.2798395185556672</v>
      </c>
      <c r="G151" s="32">
        <f>5-(4*($F$63-MIN($F$57:$F$65))/(MAX($F$57:$F$65)-MIN($F$57:$F$65)))</f>
        <v>5</v>
      </c>
      <c r="H151" s="32">
        <f>5-(4*($G$63-$G$58)/($G$57-$G$58))</f>
        <v>5</v>
      </c>
      <c r="I151">
        <v>5</v>
      </c>
      <c r="J151" s="31">
        <f t="shared" si="56"/>
        <v>4.0363688287083477</v>
      </c>
      <c r="K151" s="31">
        <f t="shared" si="61"/>
        <v>4.027460158252536</v>
      </c>
      <c r="L151" s="31">
        <f t="shared" si="62"/>
        <v>3.9642325123518702</v>
      </c>
    </row>
    <row r="152" spans="1:12" x14ac:dyDescent="0.3">
      <c r="A152" t="s">
        <v>80</v>
      </c>
      <c r="B152" s="32">
        <f>4*($H$64-$H$64)/($H$60-$H$64)+1</f>
        <v>1</v>
      </c>
      <c r="C152" s="32">
        <f t="shared" si="57"/>
        <v>1</v>
      </c>
      <c r="D152" s="32">
        <f t="shared" si="58"/>
        <v>5</v>
      </c>
      <c r="E152" s="32">
        <f t="shared" si="59"/>
        <v>5</v>
      </c>
      <c r="F152" s="32">
        <f t="shared" si="60"/>
        <v>5</v>
      </c>
      <c r="G152" s="32">
        <f>5-(4*($F$64-MIN($F$57:$F$65))/(MAX($F$57:$F$65)-MIN($F$57:$F$65)))</f>
        <v>5</v>
      </c>
      <c r="H152" s="32">
        <f>5-(4*($G$64-$G$58)/($G$57-$G$58))</f>
        <v>5</v>
      </c>
      <c r="I152">
        <v>5</v>
      </c>
      <c r="J152" s="31">
        <f t="shared" si="56"/>
        <v>4</v>
      </c>
      <c r="K152" s="31">
        <f t="shared" si="61"/>
        <v>3.5454545454545454</v>
      </c>
      <c r="L152" s="31">
        <f t="shared" si="62"/>
        <v>4.333333333333333</v>
      </c>
    </row>
    <row r="153" spans="1:12" x14ac:dyDescent="0.3">
      <c r="A153" t="s">
        <v>81</v>
      </c>
      <c r="B153" s="32">
        <f>4*($H$65-$H$64)/($H$60-$H$64)+1</f>
        <v>5</v>
      </c>
      <c r="C153" s="32">
        <f t="shared" si="57"/>
        <v>4.6333333333333329</v>
      </c>
      <c r="D153" s="32">
        <f t="shared" si="58"/>
        <v>2</v>
      </c>
      <c r="E153" s="32">
        <f t="shared" si="59"/>
        <v>5</v>
      </c>
      <c r="F153" s="32">
        <f t="shared" si="60"/>
        <v>1.902708124373119</v>
      </c>
      <c r="G153" s="32">
        <f>5-(4*($F$65-MIN($F$57:$F$65))/(MAX($F$57:$F$65)-MIN($F$57:$F$65)))</f>
        <v>4.8</v>
      </c>
      <c r="H153" s="32">
        <f>5-(4*($G$65-$G$58)/($G$57-$G$58))</f>
        <v>5</v>
      </c>
      <c r="I153">
        <v>5</v>
      </c>
      <c r="J153" s="31">
        <f t="shared" si="56"/>
        <v>4.1670051822133072</v>
      </c>
      <c r="K153" s="31">
        <f t="shared" si="61"/>
        <v>4.3426704355490715</v>
      </c>
      <c r="L153" s="31">
        <f t="shared" si="62"/>
        <v>3.9365624651732976</v>
      </c>
    </row>
    <row r="155" spans="1:12" x14ac:dyDescent="0.3">
      <c r="A155" s="1" t="s">
        <v>86</v>
      </c>
      <c r="B155" t="s">
        <v>99</v>
      </c>
      <c r="C155" t="s">
        <v>100</v>
      </c>
      <c r="D155" t="s">
        <v>101</v>
      </c>
      <c r="E155" t="s">
        <v>102</v>
      </c>
      <c r="F155" t="s">
        <v>103</v>
      </c>
      <c r="G155" t="s">
        <v>104</v>
      </c>
      <c r="H155" t="s">
        <v>105</v>
      </c>
      <c r="I155" t="s">
        <v>106</v>
      </c>
      <c r="J155" t="s">
        <v>110</v>
      </c>
      <c r="K155" t="s">
        <v>108</v>
      </c>
      <c r="L155" t="s">
        <v>109</v>
      </c>
    </row>
    <row r="156" spans="1:12" x14ac:dyDescent="0.3">
      <c r="A156" t="s">
        <v>73</v>
      </c>
      <c r="B156" s="32">
        <f>4*($H$57-$H$64)/($H$60-$H$64)+1</f>
        <v>5</v>
      </c>
      <c r="C156" s="32">
        <f>4*(J24-MAX($J$24:$J$32))/(MIN($J$24:$J$32)-MAX($J$24:$J$32))+1</f>
        <v>4.2322274881516577</v>
      </c>
      <c r="D156" s="32">
        <f>4*(I24-MIN($I$24:$I$32))/(MAX($I$24:$I$32)-MIN($I$24:$I$32))+1</f>
        <v>2.333333333333333</v>
      </c>
      <c r="E156" s="32">
        <f>4*(K24-MIN($K$24:$K$32))/(MAX($K$24:$K$32)-MIN($K$24:$K$32))+1</f>
        <v>5</v>
      </c>
      <c r="F156" s="32">
        <f>5-4*(H24-MIN($H$24:$H$32))/(MAX($H$24:$H$32)-MIN($H$24:$H$32))</f>
        <v>3.1008403361344534</v>
      </c>
      <c r="G156" s="32">
        <f>5-(4*($F$57-MIN($F$57:$F$65))/(MAX($F$57:$F$65)-MIN($F$57:$F$65)))</f>
        <v>5</v>
      </c>
      <c r="H156" s="32">
        <f>5-(4*($G$57-$G$58)/($G$57-$G$58))</f>
        <v>1</v>
      </c>
      <c r="I156">
        <v>5</v>
      </c>
      <c r="J156" s="31">
        <f t="shared" ref="J156:J164" si="63">AVERAGE(B156:I156)</f>
        <v>3.8333001447024304</v>
      </c>
      <c r="K156" s="31">
        <f>(2*(B156+C156+G156)+D156+E156+F156+H156+I156)/11</f>
        <v>4.0816935132519179</v>
      </c>
      <c r="L156" s="31">
        <f>(2*(D156+E156+F156+H156)+B156+C156+G156+I156)/12</f>
        <v>3.5083812355906026</v>
      </c>
    </row>
    <row r="157" spans="1:12" x14ac:dyDescent="0.3">
      <c r="A157" s="13" t="s">
        <v>74</v>
      </c>
      <c r="B157" s="32">
        <f>4*($H$58-$H$64)/($H$60-$H$64)+1</f>
        <v>3.2222222222222219</v>
      </c>
      <c r="C157" s="32">
        <f t="shared" ref="C157:C164" si="64">4*(J25-MAX($J$24:$J$32))/(MIN($J$24:$J$32)-MAX($J$24:$J$32))+1</f>
        <v>4.2322274881516577</v>
      </c>
      <c r="D157" s="32">
        <f t="shared" ref="D157:D164" si="65">4*(I25-MIN($I$24:$I$32))/(MAX($I$24:$I$32)-MIN($I$24:$I$32))+1</f>
        <v>3.666666666666667</v>
      </c>
      <c r="E157" s="32">
        <f t="shared" ref="E157:E164" si="66">4*(K25-MIN($K$24:$K$32))/(MAX($K$24:$K$32)-MIN($K$24:$K$32))+1</f>
        <v>5</v>
      </c>
      <c r="F157" s="32">
        <f t="shared" ref="F157:F164" si="67">5-4*(H25-MIN($H$24:$H$32))/(MAX($H$24:$H$32)-MIN($H$24:$H$32))</f>
        <v>3.6386554621848739</v>
      </c>
      <c r="G157" s="32">
        <f>5-(4*($F$58-MIN($F$57:$F$65))/(MAX($F$57:$F$65)-MIN($F$57:$F$65)))</f>
        <v>5</v>
      </c>
      <c r="H157" s="32">
        <f>5-(4*($G$58-$G$58)/($G$57-$G$58))</f>
        <v>5</v>
      </c>
      <c r="I157">
        <v>5</v>
      </c>
      <c r="J157" s="31">
        <f t="shared" si="63"/>
        <v>4.3449714799031778</v>
      </c>
      <c r="K157" s="31">
        <f t="shared" ref="K157:K164" si="68">(2*(B157+C157+G157)+D157+E157+F157+H157+I157)/11</f>
        <v>4.2922019590544815</v>
      </c>
      <c r="L157" s="31">
        <f t="shared" ref="L157:L164" si="69">(2*(D157+E157+F157+H157)+B157+C157+G157+I157)/12</f>
        <v>4.3387578306730807</v>
      </c>
    </row>
    <row r="158" spans="1:12" x14ac:dyDescent="0.3">
      <c r="A158" t="s">
        <v>75</v>
      </c>
      <c r="B158" s="32">
        <f>4*($H$59-$H$64)/($H$60-$H$64)+1</f>
        <v>5</v>
      </c>
      <c r="C158" s="32">
        <f t="shared" si="64"/>
        <v>4.2322274881516577</v>
      </c>
      <c r="D158" s="32">
        <f t="shared" si="65"/>
        <v>1</v>
      </c>
      <c r="E158" s="32">
        <f t="shared" si="66"/>
        <v>1</v>
      </c>
      <c r="F158" s="32">
        <f t="shared" si="67"/>
        <v>1.0560224089635857</v>
      </c>
      <c r="G158" s="32">
        <f>5-(4*($F$59-MIN($F$57:$F$65))/(MAX($F$57:$F$65)-MIN($F$57:$F$65)))</f>
        <v>5</v>
      </c>
      <c r="H158" s="32">
        <f>5-(4*($G$59-$G$58)/($G$57-$G$58))</f>
        <v>5</v>
      </c>
      <c r="I158">
        <v>5</v>
      </c>
      <c r="J158" s="31">
        <f t="shared" si="63"/>
        <v>3.4110312371394054</v>
      </c>
      <c r="K158" s="31">
        <f t="shared" si="68"/>
        <v>3.7745888532060818</v>
      </c>
      <c r="L158" s="31">
        <f t="shared" si="69"/>
        <v>2.9453560255065692</v>
      </c>
    </row>
    <row r="159" spans="1:12" x14ac:dyDescent="0.3">
      <c r="A159" t="s">
        <v>76</v>
      </c>
      <c r="B159" s="32">
        <f>4*($H$60-$H$64)/($H$60-$H$64)+1</f>
        <v>5</v>
      </c>
      <c r="C159" s="32">
        <f t="shared" si="64"/>
        <v>4.2322274881516577</v>
      </c>
      <c r="D159" s="32">
        <f t="shared" si="65"/>
        <v>2.333333333333333</v>
      </c>
      <c r="E159" s="32">
        <f t="shared" si="66"/>
        <v>5</v>
      </c>
      <c r="F159" s="32">
        <f t="shared" si="67"/>
        <v>3.9971988795518207</v>
      </c>
      <c r="G159" s="32">
        <f>5-(4*($F$60-MIN($F$57:$F$65))/(MAX($F$57:$F$65)-MIN($F$57:$F$65)))</f>
        <v>4.5999999999999996</v>
      </c>
      <c r="H159" s="32">
        <f>5-(4*($G$60-$G$58)/($G$57-$G$58))</f>
        <v>5</v>
      </c>
      <c r="I159">
        <v>5</v>
      </c>
      <c r="J159" s="31">
        <f t="shared" si="63"/>
        <v>4.3953449626296015</v>
      </c>
      <c r="K159" s="31">
        <f t="shared" si="68"/>
        <v>4.4540897444716787</v>
      </c>
      <c r="L159" s="31">
        <f t="shared" si="69"/>
        <v>4.2911076594934974</v>
      </c>
    </row>
    <row r="160" spans="1:12" x14ac:dyDescent="0.3">
      <c r="A160" t="s">
        <v>77</v>
      </c>
      <c r="B160" s="32">
        <f>4*($H$61-$H$64)/($H$60-$H$64)+1</f>
        <v>5</v>
      </c>
      <c r="C160" s="32">
        <f t="shared" si="64"/>
        <v>4.2322274881516577</v>
      </c>
      <c r="D160" s="32">
        <f t="shared" si="65"/>
        <v>2.333333333333333</v>
      </c>
      <c r="E160" s="32">
        <f t="shared" si="66"/>
        <v>5</v>
      </c>
      <c r="F160" s="32">
        <f t="shared" si="67"/>
        <v>3.6498599439775909</v>
      </c>
      <c r="G160" s="32">
        <f>5-(4*($F$61-MIN($F$57:$F$65))/(MAX($F$57:$F$65)-MIN($F$57:$F$65)))</f>
        <v>5</v>
      </c>
      <c r="H160" s="32">
        <f>5-(4*($G$61-$G$58)/($G$57-$G$58))</f>
        <v>5</v>
      </c>
      <c r="I160">
        <v>1</v>
      </c>
      <c r="J160" s="31">
        <f t="shared" si="63"/>
        <v>3.9019275956828228</v>
      </c>
      <c r="K160" s="31">
        <f t="shared" si="68"/>
        <v>4.131604386692203</v>
      </c>
      <c r="L160" s="31">
        <f t="shared" si="69"/>
        <v>3.9332178368977924</v>
      </c>
    </row>
    <row r="161" spans="1:12" x14ac:dyDescent="0.3">
      <c r="A161" t="s">
        <v>78</v>
      </c>
      <c r="B161" s="32">
        <f>4*($H$62-$H$64)/($H$60-$H$64)+1</f>
        <v>1</v>
      </c>
      <c r="C161" s="32">
        <v>0</v>
      </c>
      <c r="D161" s="32">
        <f t="shared" si="65"/>
        <v>3.666666666666667</v>
      </c>
      <c r="E161" s="32">
        <f t="shared" si="66"/>
        <v>5</v>
      </c>
      <c r="F161" s="32">
        <f t="shared" si="67"/>
        <v>5</v>
      </c>
      <c r="G161" s="32">
        <f>5-(4*($F$62-MIN($F$57:$F$65))/(MAX($F$57:$F$65)-MIN($F$57:$F$65)))</f>
        <v>1</v>
      </c>
      <c r="H161" s="32">
        <f>5-(4*($G$62-$G$58)/($G$57-$G$58))</f>
        <v>5</v>
      </c>
      <c r="I161">
        <v>3</v>
      </c>
      <c r="J161" s="31">
        <f t="shared" si="63"/>
        <v>2.9583333333333335</v>
      </c>
      <c r="K161" s="31">
        <f t="shared" si="68"/>
        <v>2.3333333333333335</v>
      </c>
      <c r="L161" s="31">
        <f t="shared" si="69"/>
        <v>3.5277777777777781</v>
      </c>
    </row>
    <row r="162" spans="1:12" x14ac:dyDescent="0.3">
      <c r="A162" t="s">
        <v>79</v>
      </c>
      <c r="B162" s="32">
        <f>4*($H$63-$H$64)/($H$60-$H$64)+1</f>
        <v>3.6666666666666665</v>
      </c>
      <c r="C162" s="32">
        <f t="shared" si="64"/>
        <v>5</v>
      </c>
      <c r="D162" s="32">
        <f t="shared" si="65"/>
        <v>2.333333333333333</v>
      </c>
      <c r="E162" s="32">
        <f t="shared" si="66"/>
        <v>5</v>
      </c>
      <c r="F162" s="32">
        <f t="shared" si="67"/>
        <v>1</v>
      </c>
      <c r="G162" s="32">
        <f>5-(4*($F$63-MIN($F$57:$F$65))/(MAX($F$57:$F$65)-MIN($F$57:$F$65)))</f>
        <v>5</v>
      </c>
      <c r="H162" s="32">
        <f>5-(4*($G$63-$G$58)/($G$57-$G$58))</f>
        <v>5</v>
      </c>
      <c r="I162">
        <v>5</v>
      </c>
      <c r="J162" s="31">
        <f t="shared" si="63"/>
        <v>4</v>
      </c>
      <c r="K162" s="31">
        <f t="shared" si="68"/>
        <v>4.1515151515151514</v>
      </c>
      <c r="L162" s="31">
        <f t="shared" si="69"/>
        <v>3.7777777777777772</v>
      </c>
    </row>
    <row r="163" spans="1:12" x14ac:dyDescent="0.3">
      <c r="A163" t="s">
        <v>80</v>
      </c>
      <c r="B163" s="32">
        <f>4*($H$64-$H$64)/($H$60-$H$64)+1</f>
        <v>1</v>
      </c>
      <c r="C163" s="32">
        <f t="shared" si="64"/>
        <v>1</v>
      </c>
      <c r="D163" s="32">
        <f t="shared" si="65"/>
        <v>5</v>
      </c>
      <c r="E163" s="32">
        <f t="shared" si="66"/>
        <v>5</v>
      </c>
      <c r="F163" s="32">
        <f t="shared" si="67"/>
        <v>4.7983193277310923</v>
      </c>
      <c r="G163" s="32">
        <f>5-(4*($F$64-MIN($F$57:$F$65))/(MAX($F$57:$F$65)-MIN($F$57:$F$65)))</f>
        <v>5</v>
      </c>
      <c r="H163" s="32">
        <f>5-(4*($G$64-$G$58)/($G$57-$G$58))</f>
        <v>5</v>
      </c>
      <c r="I163">
        <v>5</v>
      </c>
      <c r="J163" s="31">
        <f t="shared" si="63"/>
        <v>3.9747899159663866</v>
      </c>
      <c r="K163" s="31">
        <f t="shared" si="68"/>
        <v>3.527119938884645</v>
      </c>
      <c r="L163" s="31">
        <f t="shared" si="69"/>
        <v>4.2997198879551819</v>
      </c>
    </row>
    <row r="164" spans="1:12" x14ac:dyDescent="0.3">
      <c r="A164" t="s">
        <v>81</v>
      </c>
      <c r="B164" s="32">
        <f>4*($H$65-$H$64)/($H$60-$H$64)+1</f>
        <v>5</v>
      </c>
      <c r="C164" s="32">
        <f t="shared" si="64"/>
        <v>4.2322274881516577</v>
      </c>
      <c r="D164" s="32">
        <f t="shared" si="65"/>
        <v>2.333333333333333</v>
      </c>
      <c r="E164" s="32">
        <f t="shared" si="66"/>
        <v>5</v>
      </c>
      <c r="F164" s="32">
        <f t="shared" si="67"/>
        <v>4.0028011204481793</v>
      </c>
      <c r="G164" s="32">
        <f>5-(4*($F$65-MIN($F$57:$F$65))/(MAX($F$57:$F$65)-MIN($F$57:$F$65)))</f>
        <v>4.8</v>
      </c>
      <c r="H164" s="32">
        <f>5-(4*($G$65-$G$58)/($G$57-$G$58))</f>
        <v>5</v>
      </c>
      <c r="I164">
        <v>5</v>
      </c>
      <c r="J164" s="31">
        <f t="shared" si="63"/>
        <v>4.4210452427416467</v>
      </c>
      <c r="K164" s="31">
        <f t="shared" si="68"/>
        <v>4.4909626754622574</v>
      </c>
      <c r="L164" s="31">
        <f t="shared" si="69"/>
        <v>4.3087080329762228</v>
      </c>
    </row>
    <row r="166" spans="1:12" x14ac:dyDescent="0.3">
      <c r="A166" s="1" t="s">
        <v>87</v>
      </c>
      <c r="B166" t="s">
        <v>99</v>
      </c>
      <c r="C166" t="s">
        <v>100</v>
      </c>
      <c r="D166" t="s">
        <v>101</v>
      </c>
      <c r="E166" t="s">
        <v>102</v>
      </c>
      <c r="F166" t="s">
        <v>103</v>
      </c>
      <c r="G166" t="s">
        <v>104</v>
      </c>
      <c r="H166" t="s">
        <v>105</v>
      </c>
      <c r="I166" t="s">
        <v>106</v>
      </c>
      <c r="J166" t="s">
        <v>110</v>
      </c>
      <c r="K166" t="s">
        <v>108</v>
      </c>
      <c r="L166" t="s">
        <v>109</v>
      </c>
    </row>
    <row r="167" spans="1:12" x14ac:dyDescent="0.3">
      <c r="A167" t="s">
        <v>73</v>
      </c>
      <c r="B167" s="32">
        <f>4*($H$57-$H$64)/($H$60-$H$64)+1</f>
        <v>5</v>
      </c>
      <c r="C167" s="32">
        <f>4*(P24-MAX($P$24:$P$32))/(MIN($P$24:$P$32)-MAX($P$24:$P$32))+1</f>
        <v>4.2322274881516595</v>
      </c>
      <c r="D167" s="32">
        <f>4*(O24-MIN($O$24:$O$32))/(MAX($O$24:$O$32)-MIN($O$24:$O$32))+1</f>
        <v>2.333333333333333</v>
      </c>
      <c r="E167" s="32">
        <f>4*(Q24-MIN($Q$24:$Q$32))/(MAX($Q$24:$Q$32)-MIN($Q$24:$Q$32))+1</f>
        <v>5</v>
      </c>
      <c r="F167" s="32">
        <f>5-4*(N24-MIN($N$24:$N$32))/(MAX($N$24:$N$32)-MIN($N$24:$N$32))</f>
        <v>3.4906600249066004</v>
      </c>
      <c r="G167" s="32">
        <f>5-(4*($F$57-MIN($F$57:$F$65))/(MAX($F$57:$F$65)-MIN($F$57:$F$65)))</f>
        <v>5</v>
      </c>
      <c r="H167" s="32">
        <f>5-(4*($G$57-$G$58)/($G$57-$G$58))</f>
        <v>1</v>
      </c>
      <c r="I167">
        <v>5</v>
      </c>
      <c r="J167" s="31">
        <f t="shared" ref="J167:J175" si="70">AVERAGE(B167:I167)</f>
        <v>3.8820276057989491</v>
      </c>
      <c r="K167" s="31">
        <f>(2*(B167+C167+G167)+D167+E167+F167+H167+I167)/11</f>
        <v>4.1171316667766593</v>
      </c>
      <c r="L167" s="31">
        <f>(2*(D167+E167+F167+H167)+B167+C167+G167+I167)/12</f>
        <v>3.5733511837192942</v>
      </c>
    </row>
    <row r="168" spans="1:12" x14ac:dyDescent="0.3">
      <c r="A168" s="13" t="s">
        <v>74</v>
      </c>
      <c r="B168" s="32">
        <f>4*($H$58-$H$64)/($H$60-$H$64)+1</f>
        <v>3.2222222222222219</v>
      </c>
      <c r="C168" s="32">
        <f t="shared" ref="C168:C175" si="71">4*(P25-MAX($P$24:$P$32))/(MIN($P$24:$P$32)-MAX($P$24:$P$32))+1</f>
        <v>4.2322274881516595</v>
      </c>
      <c r="D168" s="32">
        <f t="shared" ref="D168:D175" si="72">4*(O25-MIN($O$24:$O$32))/(MAX($O$24:$O$32)-MIN($O$24:$O$32))+1</f>
        <v>3.666666666666667</v>
      </c>
      <c r="E168" s="32">
        <f t="shared" ref="E168:E175" si="73">4*(Q25-MIN($Q$24:$Q$32))/(MAX($Q$24:$Q$32)-MIN($Q$24:$Q$32))+1</f>
        <v>5</v>
      </c>
      <c r="F168" s="32">
        <f t="shared" ref="F168:F175" si="74">5-4*(N25-MIN($N$24:$N$32))/(MAX($N$24:$N$32)-MIN($N$24:$N$32))</f>
        <v>3.9638854296388546</v>
      </c>
      <c r="G168" s="32">
        <f>5-(4*($F$58-MIN($F$57:$F$65))/(MAX($F$57:$F$65)-MIN($F$57:$F$65)))</f>
        <v>5</v>
      </c>
      <c r="H168" s="32">
        <f>5-(4*($G$58-$G$58)/($G$57-$G$58))</f>
        <v>5</v>
      </c>
      <c r="I168">
        <v>5</v>
      </c>
      <c r="J168" s="31">
        <f t="shared" si="70"/>
        <v>4.3856252258349251</v>
      </c>
      <c r="K168" s="31">
        <f t="shared" ref="K168:K175" si="75">(2*(B168+C168+G168)+D168+E168+F168+H168+I168)/11</f>
        <v>4.3217683197321168</v>
      </c>
      <c r="L168" s="31">
        <f t="shared" ref="L168:L175" si="76">(2*(D168+E168+F168+H168)+B168+C168+G168+I168)/12</f>
        <v>4.3929628252487438</v>
      </c>
    </row>
    <row r="169" spans="1:12" x14ac:dyDescent="0.3">
      <c r="A169" t="s">
        <v>75</v>
      </c>
      <c r="B169" s="32">
        <f>4*($H$59-$H$64)/($H$60-$H$64)+1</f>
        <v>5</v>
      </c>
      <c r="C169" s="32">
        <f t="shared" si="71"/>
        <v>4.2322274881516595</v>
      </c>
      <c r="D169" s="32">
        <f t="shared" si="72"/>
        <v>1</v>
      </c>
      <c r="E169" s="32">
        <f t="shared" si="73"/>
        <v>1</v>
      </c>
      <c r="F169" s="32">
        <f t="shared" si="74"/>
        <v>1</v>
      </c>
      <c r="G169" s="32">
        <f>5-(4*($F$59-MIN($F$57:$F$65))/(MAX($F$57:$F$65)-MIN($F$57:$F$65)))</f>
        <v>5</v>
      </c>
      <c r="H169" s="32">
        <f>5-(4*($G$59-$G$58)/($G$57-$G$58))</f>
        <v>5</v>
      </c>
      <c r="I169">
        <v>5</v>
      </c>
      <c r="J169" s="31">
        <f t="shared" si="70"/>
        <v>3.4040284360189572</v>
      </c>
      <c r="K169" s="31">
        <f t="shared" si="75"/>
        <v>3.7694959069366649</v>
      </c>
      <c r="L169" s="31">
        <f t="shared" si="76"/>
        <v>2.9360189573459716</v>
      </c>
    </row>
    <row r="170" spans="1:12" x14ac:dyDescent="0.3">
      <c r="A170" t="s">
        <v>76</v>
      </c>
      <c r="B170" s="32">
        <f>4*($H$60-$H$64)/($H$60-$H$64)+1</f>
        <v>5</v>
      </c>
      <c r="C170" s="32">
        <f t="shared" si="71"/>
        <v>4.2322274881516595</v>
      </c>
      <c r="D170" s="32">
        <f t="shared" si="72"/>
        <v>2.333333333333333</v>
      </c>
      <c r="E170" s="32">
        <f t="shared" si="73"/>
        <v>5</v>
      </c>
      <c r="F170" s="32">
        <f t="shared" si="74"/>
        <v>4.1382316313823164</v>
      </c>
      <c r="G170" s="32">
        <f>5-(4*($F$60-MIN($F$57:$F$65))/(MAX($F$57:$F$65)-MIN($F$57:$F$65)))</f>
        <v>4.5999999999999996</v>
      </c>
      <c r="H170" s="32">
        <f>5-(4*($G$60-$G$58)/($G$57-$G$58))</f>
        <v>5</v>
      </c>
      <c r="I170">
        <v>5</v>
      </c>
      <c r="J170" s="31">
        <f t="shared" si="70"/>
        <v>4.4129740566084141</v>
      </c>
      <c r="K170" s="31">
        <f t="shared" si="75"/>
        <v>4.4669109037289969</v>
      </c>
      <c r="L170" s="31">
        <f t="shared" si="76"/>
        <v>4.3146131181319136</v>
      </c>
    </row>
    <row r="171" spans="1:12" x14ac:dyDescent="0.3">
      <c r="A171" t="s">
        <v>77</v>
      </c>
      <c r="B171" s="32">
        <f>4*($H$61-$H$64)/($H$60-$H$64)+1</f>
        <v>5</v>
      </c>
      <c r="C171" s="32">
        <f t="shared" si="71"/>
        <v>4.2322274881516595</v>
      </c>
      <c r="D171" s="32">
        <f t="shared" si="72"/>
        <v>2.333333333333333</v>
      </c>
      <c r="E171" s="32">
        <f t="shared" si="73"/>
        <v>5</v>
      </c>
      <c r="F171" s="32">
        <f t="shared" si="74"/>
        <v>3.8642590286425906</v>
      </c>
      <c r="G171" s="32">
        <f>5-(4*($F$61-MIN($F$57:$F$65))/(MAX($F$57:$F$65)-MIN($F$57:$F$65)))</f>
        <v>5</v>
      </c>
      <c r="H171" s="32">
        <f>5-(4*($G$61-$G$58)/($G$57-$G$58))</f>
        <v>5</v>
      </c>
      <c r="I171">
        <v>1</v>
      </c>
      <c r="J171" s="31">
        <f t="shared" si="70"/>
        <v>3.9287274812659478</v>
      </c>
      <c r="K171" s="31">
        <f t="shared" si="75"/>
        <v>4.1510952125708407</v>
      </c>
      <c r="L171" s="31">
        <f t="shared" si="76"/>
        <v>3.9689510176752916</v>
      </c>
    </row>
    <row r="172" spans="1:12" x14ac:dyDescent="0.3">
      <c r="A172" t="s">
        <v>78</v>
      </c>
      <c r="B172" s="32">
        <f>4*($H$62-$H$64)/($H$60-$H$64)+1</f>
        <v>1</v>
      </c>
      <c r="C172" s="32">
        <v>0</v>
      </c>
      <c r="D172" s="32">
        <f t="shared" si="72"/>
        <v>3.666666666666667</v>
      </c>
      <c r="E172" s="32">
        <f t="shared" si="73"/>
        <v>5</v>
      </c>
      <c r="F172" s="32">
        <f t="shared" si="74"/>
        <v>3.4906600249066004</v>
      </c>
      <c r="G172" s="32">
        <f>5-(4*($F$62-MIN($F$57:$F$65))/(MAX($F$57:$F$65)-MIN($F$57:$F$65)))</f>
        <v>1</v>
      </c>
      <c r="H172" s="32">
        <f>5-(4*($G$62-$G$58)/($G$57-$G$58))</f>
        <v>5</v>
      </c>
      <c r="I172">
        <v>3</v>
      </c>
      <c r="J172" s="31">
        <f t="shared" si="70"/>
        <v>2.7696658364466584</v>
      </c>
      <c r="K172" s="31">
        <f t="shared" si="75"/>
        <v>2.1961206083248426</v>
      </c>
      <c r="L172" s="31">
        <f t="shared" si="76"/>
        <v>3.2762211152622114</v>
      </c>
    </row>
    <row r="173" spans="1:12" x14ac:dyDescent="0.3">
      <c r="A173" t="s">
        <v>79</v>
      </c>
      <c r="B173" s="32">
        <f>4*($H$63-$H$64)/($H$60-$H$64)+1</f>
        <v>3.6666666666666665</v>
      </c>
      <c r="C173" s="32">
        <f t="shared" si="71"/>
        <v>5</v>
      </c>
      <c r="D173" s="32">
        <f t="shared" si="72"/>
        <v>2.333333333333333</v>
      </c>
      <c r="E173" s="32">
        <f t="shared" si="73"/>
        <v>5</v>
      </c>
      <c r="F173" s="32">
        <f t="shared" si="74"/>
        <v>1.6226650062266503</v>
      </c>
      <c r="G173" s="32">
        <f>5-(4*($F$63-MIN($F$57:$F$65))/(MAX($F$57:$F$65)-MIN($F$57:$F$65)))</f>
        <v>5</v>
      </c>
      <c r="H173" s="32">
        <f>5-(4*($G$63-$G$58)/($G$57-$G$58))</f>
        <v>5</v>
      </c>
      <c r="I173">
        <v>5</v>
      </c>
      <c r="J173" s="31">
        <f t="shared" si="70"/>
        <v>4.0778331257783318</v>
      </c>
      <c r="K173" s="31">
        <f t="shared" si="75"/>
        <v>4.2081210611721191</v>
      </c>
      <c r="L173" s="31">
        <f t="shared" si="76"/>
        <v>3.881555278815553</v>
      </c>
    </row>
    <row r="174" spans="1:12" x14ac:dyDescent="0.3">
      <c r="A174" t="s">
        <v>80</v>
      </c>
      <c r="B174" s="32">
        <f>4*($H$64-$H$64)/($H$60-$H$64)+1</f>
        <v>1</v>
      </c>
      <c r="C174" s="32">
        <f t="shared" si="71"/>
        <v>1</v>
      </c>
      <c r="D174" s="32">
        <f t="shared" si="72"/>
        <v>5</v>
      </c>
      <c r="E174" s="32">
        <f t="shared" si="73"/>
        <v>5</v>
      </c>
      <c r="F174" s="32">
        <f t="shared" si="74"/>
        <v>5</v>
      </c>
      <c r="G174" s="32">
        <f>5-(4*($F$64-MIN($F$57:$F$65))/(MAX($F$57:$F$65)-MIN($F$57:$F$65)))</f>
        <v>5</v>
      </c>
      <c r="H174" s="32">
        <f>5-(4*($G$64-$G$58)/($G$57-$G$58))</f>
        <v>5</v>
      </c>
      <c r="I174">
        <v>5</v>
      </c>
      <c r="J174" s="31">
        <f t="shared" si="70"/>
        <v>4</v>
      </c>
      <c r="K174" s="31">
        <f t="shared" si="75"/>
        <v>3.5454545454545454</v>
      </c>
      <c r="L174" s="31">
        <f t="shared" si="76"/>
        <v>4.333333333333333</v>
      </c>
    </row>
    <row r="175" spans="1:12" x14ac:dyDescent="0.3">
      <c r="A175" t="s">
        <v>81</v>
      </c>
      <c r="B175" s="32">
        <f>4*($H$65-$H$64)/($H$60-$H$64)+1</f>
        <v>5</v>
      </c>
      <c r="C175" s="32">
        <f t="shared" si="71"/>
        <v>4.2322274881516595</v>
      </c>
      <c r="D175" s="32">
        <f t="shared" si="72"/>
        <v>2.333333333333333</v>
      </c>
      <c r="E175" s="32">
        <f t="shared" si="73"/>
        <v>5</v>
      </c>
      <c r="F175" s="32">
        <f t="shared" si="74"/>
        <v>4.1432129514321296</v>
      </c>
      <c r="G175" s="32">
        <f>5-(4*($F$65-MIN($F$57:$F$65))/(MAX($F$57:$F$65)-MIN($F$57:$F$65)))</f>
        <v>4.8</v>
      </c>
      <c r="H175" s="32">
        <f>5-(4*($G$65-$G$58)/($G$57-$G$58))</f>
        <v>5</v>
      </c>
      <c r="I175">
        <v>5</v>
      </c>
      <c r="J175" s="31">
        <f t="shared" si="70"/>
        <v>4.4385967216146405</v>
      </c>
      <c r="K175" s="31">
        <f t="shared" si="75"/>
        <v>4.5037273873698895</v>
      </c>
      <c r="L175" s="31">
        <f t="shared" si="76"/>
        <v>4.3321100048068812</v>
      </c>
    </row>
    <row r="177" spans="1:12" x14ac:dyDescent="0.3">
      <c r="A177" s="1" t="s">
        <v>88</v>
      </c>
      <c r="B177" t="s">
        <v>99</v>
      </c>
      <c r="C177" t="s">
        <v>100</v>
      </c>
      <c r="D177" t="s">
        <v>101</v>
      </c>
      <c r="E177" t="s">
        <v>102</v>
      </c>
      <c r="F177" t="s">
        <v>103</v>
      </c>
      <c r="G177" t="s">
        <v>104</v>
      </c>
      <c r="H177" t="s">
        <v>105</v>
      </c>
      <c r="I177" t="s">
        <v>106</v>
      </c>
      <c r="J177" t="s">
        <v>110</v>
      </c>
      <c r="K177" t="s">
        <v>108</v>
      </c>
      <c r="L177" t="s">
        <v>109</v>
      </c>
    </row>
    <row r="178" spans="1:12" x14ac:dyDescent="0.3">
      <c r="A178" t="s">
        <v>73</v>
      </c>
      <c r="B178" s="32">
        <f>4*($H$57-$H$64)/($H$60-$H$64)+1</f>
        <v>5</v>
      </c>
      <c r="C178" s="32">
        <f>4*(D35-MAX($D$35:$D$43))/(MIN($D$35:$D$43)-MAX($D$35:$D$43))+1</f>
        <v>4.2322274881516595</v>
      </c>
      <c r="D178" s="32">
        <f>4*(C35-MIN($C$35:$C$43))/(MAX($C$35:$C$43)-MIN($C$35:$C$43))+1</f>
        <v>3.666666666666667</v>
      </c>
      <c r="E178" s="32">
        <f>4*(E35-MIN($E$35:$E$43))/(MAX($E$35:$E$43)-MIN($E$35:$E$43))+1</f>
        <v>5</v>
      </c>
      <c r="F178" s="32">
        <f>5-4*(B35-MIN($B$35:$B$43))/(MAX($B$35:$B$43)-MIN($B$35:$B$43))</f>
        <v>4.1953833470733715</v>
      </c>
      <c r="G178" s="32">
        <f>5-(4*($F$57-MIN($F$57:$F$65))/(MAX($F$57:$F$65)-MIN($F$57:$F$65)))</f>
        <v>5</v>
      </c>
      <c r="H178" s="32">
        <f>5-(4*($G$57-$G$58)/($G$57-$G$58))</f>
        <v>1</v>
      </c>
      <c r="I178">
        <v>5</v>
      </c>
      <c r="J178" s="31">
        <f t="shared" ref="J178:J186" si="77">AVERAGE(B178:I178)</f>
        <v>4.136784687736462</v>
      </c>
      <c r="K178" s="31">
        <f>(2*(B178+C178+G178)+D178+E178+F178+H178+I178)/11</f>
        <v>4.3024095445493966</v>
      </c>
      <c r="L178" s="31">
        <f>(2*(D178+E178+F178+H178)+B178+C178+G178+I178)/12</f>
        <v>3.9130272929693111</v>
      </c>
    </row>
    <row r="179" spans="1:12" x14ac:dyDescent="0.3">
      <c r="A179" s="13" t="s">
        <v>74</v>
      </c>
      <c r="B179" s="32">
        <f>4*($H$58-$H$64)/($H$60-$H$64)+1</f>
        <v>3.2222222222222219</v>
      </c>
      <c r="C179" s="32">
        <f t="shared" ref="C179:C186" si="78">4*(D36-MAX($D$35:$D$43))/(MIN($D$35:$D$43)-MAX($D$35:$D$43))+1</f>
        <v>4.2322274881516595</v>
      </c>
      <c r="D179" s="32">
        <f t="shared" ref="D179:D186" si="79">4*(C36-MIN($C$35:$C$43))/(MAX($C$35:$C$43)-MIN($C$35:$C$43))+1</f>
        <v>2.333333333333333</v>
      </c>
      <c r="E179" s="32">
        <f t="shared" ref="E179:E186" si="80">4*(E36-MIN($E$35:$E$43))/(MAX($E$35:$E$43)-MIN($E$35:$E$43))+1</f>
        <v>5</v>
      </c>
      <c r="F179" s="32">
        <f t="shared" ref="F179:F186" si="81">5-4*(B36-MIN($B$35:$B$43))/(MAX($B$35:$B$43)-MIN($B$35:$B$43))</f>
        <v>4.1986809563066778</v>
      </c>
      <c r="G179" s="32">
        <f>5-(4*($F$58-MIN($F$57:$F$65))/(MAX($F$57:$F$65)-MIN($F$57:$F$65)))</f>
        <v>5</v>
      </c>
      <c r="H179" s="32">
        <f>5-(4*($G$58-$G$58)/($G$57-$G$58))</f>
        <v>5</v>
      </c>
      <c r="I179">
        <v>5</v>
      </c>
      <c r="J179" s="31">
        <f t="shared" si="77"/>
        <v>4.248308000001737</v>
      </c>
      <c r="K179" s="31">
        <f t="shared" ref="K179:K186" si="82">(2*(B179+C179+G179)+D179+E179+F179+H179+I179)/11</f>
        <v>4.2219012463988888</v>
      </c>
      <c r="L179" s="31">
        <f t="shared" ref="L179:L186" si="83">(2*(D179+E179+F179+H179)+B179+C179+G179+I179)/12</f>
        <v>4.2098731908044913</v>
      </c>
    </row>
    <row r="180" spans="1:12" x14ac:dyDescent="0.3">
      <c r="A180" t="s">
        <v>75</v>
      </c>
      <c r="B180" s="32">
        <f>4*($H$59-$H$64)/($H$60-$H$64)+1</f>
        <v>5</v>
      </c>
      <c r="C180" s="32">
        <f t="shared" si="78"/>
        <v>4.2322274881516595</v>
      </c>
      <c r="D180" s="32">
        <f t="shared" si="79"/>
        <v>1</v>
      </c>
      <c r="E180" s="32">
        <f t="shared" si="80"/>
        <v>1</v>
      </c>
      <c r="F180" s="32">
        <f t="shared" si="81"/>
        <v>1</v>
      </c>
      <c r="G180" s="32">
        <f>5-(4*($F$59-MIN($F$57:$F$65))/(MAX($F$57:$F$65)-MIN($F$57:$F$65)))</f>
        <v>5</v>
      </c>
      <c r="H180" s="32">
        <f>5-(4*($G$59-$G$58)/($G$57-$G$58))</f>
        <v>5</v>
      </c>
      <c r="I180">
        <v>5</v>
      </c>
      <c r="J180" s="31">
        <f t="shared" si="77"/>
        <v>3.4040284360189572</v>
      </c>
      <c r="K180" s="31">
        <f t="shared" si="82"/>
        <v>3.7694959069366649</v>
      </c>
      <c r="L180" s="31">
        <f t="shared" si="83"/>
        <v>2.9360189573459716</v>
      </c>
    </row>
    <row r="181" spans="1:12" x14ac:dyDescent="0.3">
      <c r="A181" t="s">
        <v>76</v>
      </c>
      <c r="B181" s="32">
        <f>4*($H$60-$H$64)/($H$60-$H$64)+1</f>
        <v>5</v>
      </c>
      <c r="C181" s="32">
        <f t="shared" si="78"/>
        <v>4.2322274881516595</v>
      </c>
      <c r="D181" s="32">
        <f t="shared" si="79"/>
        <v>2.333333333333333</v>
      </c>
      <c r="E181" s="32">
        <f t="shared" si="80"/>
        <v>5</v>
      </c>
      <c r="F181" s="32">
        <f t="shared" si="81"/>
        <v>3.9909315746084086</v>
      </c>
      <c r="G181" s="32">
        <f>5-(4*($F$60-MIN($F$57:$F$65))/(MAX($F$57:$F$65)-MIN($F$57:$F$65)))</f>
        <v>4.5999999999999996</v>
      </c>
      <c r="H181" s="32">
        <f>5-(4*($G$60-$G$58)/($G$57-$G$58))</f>
        <v>5</v>
      </c>
      <c r="I181">
        <v>5</v>
      </c>
      <c r="J181" s="31">
        <f t="shared" si="77"/>
        <v>4.3945615495116757</v>
      </c>
      <c r="K181" s="31">
        <f t="shared" si="82"/>
        <v>4.4535199894768231</v>
      </c>
      <c r="L181" s="31">
        <f t="shared" si="83"/>
        <v>4.2900631086695951</v>
      </c>
    </row>
    <row r="182" spans="1:12" x14ac:dyDescent="0.3">
      <c r="A182" t="s">
        <v>77</v>
      </c>
      <c r="B182" s="32">
        <f>4*($H$61-$H$64)/($H$60-$H$64)+1</f>
        <v>5</v>
      </c>
      <c r="C182" s="32">
        <f>4*(D39-MAX($D$35:$D$43))/(MIN($D$35:$D$43)-MAX($D$35:$D$43))+1</f>
        <v>4.2322274881516595</v>
      </c>
      <c r="D182" s="32">
        <f t="shared" si="79"/>
        <v>2.333333333333333</v>
      </c>
      <c r="E182" s="32">
        <f t="shared" si="80"/>
        <v>5</v>
      </c>
      <c r="F182" s="32">
        <f t="shared" si="81"/>
        <v>3.8029678483099749</v>
      </c>
      <c r="G182" s="32">
        <f>5-(4*($F$61-MIN($F$57:$F$65))/(MAX($F$57:$F$65)-MIN($F$57:$F$65)))</f>
        <v>5</v>
      </c>
      <c r="H182" s="32">
        <f>5-(4*($G$61-$G$58)/($G$57-$G$58))</f>
        <v>5</v>
      </c>
      <c r="I182">
        <v>1</v>
      </c>
      <c r="J182" s="31">
        <f t="shared" si="77"/>
        <v>3.9210660837243712</v>
      </c>
      <c r="K182" s="31">
        <f t="shared" si="82"/>
        <v>4.145523287086057</v>
      </c>
      <c r="L182" s="31">
        <f t="shared" si="83"/>
        <v>3.9587358209531893</v>
      </c>
    </row>
    <row r="183" spans="1:12" x14ac:dyDescent="0.3">
      <c r="A183" t="s">
        <v>78</v>
      </c>
      <c r="B183" s="32">
        <f>4*($H$62-$H$64)/($H$60-$H$64)+1</f>
        <v>1</v>
      </c>
      <c r="C183" s="32">
        <v>0</v>
      </c>
      <c r="D183" s="32">
        <f t="shared" si="79"/>
        <v>3.666666666666667</v>
      </c>
      <c r="E183" s="32">
        <f t="shared" si="80"/>
        <v>5</v>
      </c>
      <c r="F183" s="32">
        <f t="shared" si="81"/>
        <v>3.7963726298433635</v>
      </c>
      <c r="G183" s="32">
        <f>5-(4*($F$62-MIN($F$57:$F$65))/(MAX($F$57:$F$65)-MIN($F$57:$F$65)))</f>
        <v>1</v>
      </c>
      <c r="H183" s="32">
        <f>5-(4*($G$62-$G$58)/($G$57-$G$58))</f>
        <v>5</v>
      </c>
      <c r="I183">
        <v>3</v>
      </c>
      <c r="J183" s="31">
        <f t="shared" si="77"/>
        <v>2.8078799120637541</v>
      </c>
      <c r="K183" s="31">
        <f t="shared" si="82"/>
        <v>2.2239126633190938</v>
      </c>
      <c r="L183" s="31">
        <f t="shared" si="83"/>
        <v>3.3271732160850056</v>
      </c>
    </row>
    <row r="184" spans="1:12" x14ac:dyDescent="0.3">
      <c r="A184" t="s">
        <v>79</v>
      </c>
      <c r="B184" s="32">
        <f>4*($H$63-$H$64)/($H$60-$H$64)+1</f>
        <v>3.6666666666666665</v>
      </c>
      <c r="C184" s="32">
        <f t="shared" si="78"/>
        <v>5</v>
      </c>
      <c r="D184" s="32">
        <f t="shared" si="79"/>
        <v>2.333333333333333</v>
      </c>
      <c r="E184" s="32">
        <f t="shared" si="80"/>
        <v>5</v>
      </c>
      <c r="F184" s="32">
        <f t="shared" si="81"/>
        <v>2.7774113767518549</v>
      </c>
      <c r="G184" s="32">
        <f>5-(4*($F$63-MIN($F$57:$F$65))/(MAX($F$57:$F$65)-MIN($F$57:$F$65)))</f>
        <v>5</v>
      </c>
      <c r="H184" s="32">
        <f>5-(4*($G$63-$G$58)/($G$57-$G$58))</f>
        <v>5</v>
      </c>
      <c r="I184">
        <v>5</v>
      </c>
      <c r="J184" s="31">
        <f t="shared" si="77"/>
        <v>4.2221764220939821</v>
      </c>
      <c r="K184" s="31">
        <f t="shared" si="82"/>
        <v>4.3130980039471387</v>
      </c>
      <c r="L184" s="31">
        <f t="shared" si="83"/>
        <v>4.0740130072364202</v>
      </c>
    </row>
    <row r="185" spans="1:12" x14ac:dyDescent="0.3">
      <c r="A185" t="s">
        <v>80</v>
      </c>
      <c r="B185" s="32">
        <f>4*($H$64-$H$64)/($H$60-$H$64)+1</f>
        <v>1</v>
      </c>
      <c r="C185" s="32">
        <f t="shared" si="78"/>
        <v>1</v>
      </c>
      <c r="D185" s="32">
        <f t="shared" si="79"/>
        <v>5</v>
      </c>
      <c r="E185" s="32">
        <f t="shared" si="80"/>
        <v>5</v>
      </c>
      <c r="F185" s="32">
        <f t="shared" si="81"/>
        <v>5</v>
      </c>
      <c r="G185" s="32">
        <f>5-(4*($F$64-MIN($F$57:$F$65))/(MAX($F$57:$F$65)-MIN($F$57:$F$65)))</f>
        <v>5</v>
      </c>
      <c r="H185" s="32">
        <f>5-(4*($G$64-$G$58)/($G$57-$G$58))</f>
        <v>5</v>
      </c>
      <c r="I185">
        <v>5</v>
      </c>
      <c r="J185" s="31">
        <f t="shared" si="77"/>
        <v>4</v>
      </c>
      <c r="K185" s="31">
        <f t="shared" si="82"/>
        <v>3.5454545454545454</v>
      </c>
      <c r="L185" s="31">
        <f t="shared" si="83"/>
        <v>4.333333333333333</v>
      </c>
    </row>
    <row r="186" spans="1:12" x14ac:dyDescent="0.3">
      <c r="A186" t="s">
        <v>81</v>
      </c>
      <c r="B186" s="32">
        <f>4*($H$65-$H$64)/($H$60-$H$64)+1</f>
        <v>5</v>
      </c>
      <c r="C186" s="32">
        <f t="shared" si="78"/>
        <v>4.2322274881516595</v>
      </c>
      <c r="D186" s="32">
        <f t="shared" si="79"/>
        <v>2.333333333333333</v>
      </c>
      <c r="E186" s="32">
        <f t="shared" si="80"/>
        <v>5</v>
      </c>
      <c r="F186" s="32">
        <f t="shared" si="81"/>
        <v>3.994229183841715</v>
      </c>
      <c r="G186" s="32">
        <f>5-(4*($F$65-MIN($F$57:$F$65))/(MAX($F$57:$F$65)-MIN($F$57:$F$65)))</f>
        <v>4.8</v>
      </c>
      <c r="H186" s="32">
        <f>5-(4*($G$65-$G$58)/($G$57-$G$58))</f>
        <v>5</v>
      </c>
      <c r="I186">
        <v>5</v>
      </c>
      <c r="J186" s="31">
        <f t="shared" si="77"/>
        <v>4.4199737506658385</v>
      </c>
      <c r="K186" s="31">
        <f t="shared" si="82"/>
        <v>4.4901834084980337</v>
      </c>
      <c r="L186" s="31">
        <f t="shared" si="83"/>
        <v>4.3072793768751456</v>
      </c>
    </row>
    <row r="188" spans="1:12" x14ac:dyDescent="0.3">
      <c r="A188" s="1" t="s">
        <v>89</v>
      </c>
      <c r="B188" t="s">
        <v>99</v>
      </c>
      <c r="C188" t="s">
        <v>100</v>
      </c>
      <c r="D188" t="s">
        <v>101</v>
      </c>
      <c r="E188" t="s">
        <v>102</v>
      </c>
      <c r="F188" t="s">
        <v>103</v>
      </c>
      <c r="G188" t="s">
        <v>104</v>
      </c>
      <c r="H188" t="s">
        <v>105</v>
      </c>
      <c r="I188" t="s">
        <v>106</v>
      </c>
      <c r="J188" t="s">
        <v>110</v>
      </c>
      <c r="K188" t="s">
        <v>108</v>
      </c>
      <c r="L188" t="s">
        <v>109</v>
      </c>
    </row>
    <row r="189" spans="1:12" x14ac:dyDescent="0.3">
      <c r="A189" t="s">
        <v>73</v>
      </c>
      <c r="B189" s="32">
        <f>4*($H$57-$H$64)/($H$60-$H$64)+1</f>
        <v>5</v>
      </c>
      <c r="C189" s="32">
        <f>4*(J35-MAX($J$35:$J$43))/(MIN($J$35:$J$43)-MAX($J$35:$J$43))+1</f>
        <v>4.2322274881516595</v>
      </c>
      <c r="D189" s="32">
        <f>4*(I35-MIN($I$35:$I$43))/(MAX($I$35:$I$43)-MIN($I$35:$I$43))+1</f>
        <v>2.333333333333333</v>
      </c>
      <c r="E189" s="32">
        <f>4*(K35-MIN($K$35:$K$43))/(MAX($K$35:$K$43)-MIN($K$35:$K$43))+1</f>
        <v>5</v>
      </c>
      <c r="F189" s="32">
        <f>5-4*(H35-MIN($H$35:$H$43))/(MAX($H$35:$H$43)-MIN($H$35:$H$43))</f>
        <v>4.3001755412521945</v>
      </c>
      <c r="G189" s="32">
        <f>5-(4*($F$57-MIN($F$57:$F$65))/(MAX($F$57:$F$65)-MIN($F$57:$F$65)))</f>
        <v>5</v>
      </c>
      <c r="H189" s="32">
        <f>5-(4*($G$57-$G$58)/($G$57-$G$58))</f>
        <v>1</v>
      </c>
      <c r="I189">
        <v>5</v>
      </c>
      <c r="J189" s="31">
        <f t="shared" ref="J189:J197" si="84">AVERAGE(B189:I189)</f>
        <v>3.9832170453421485</v>
      </c>
      <c r="K189" s="31">
        <f>(2*(B189+C189+G189)+D189+E189+F189+H189+I189)/11</f>
        <v>4.1907239864444401</v>
      </c>
      <c r="L189" s="31">
        <f>(2*(D189+E189+F189+H189)+B189+C189+G189+I189)/12</f>
        <v>3.7082704364435592</v>
      </c>
    </row>
    <row r="190" spans="1:12" x14ac:dyDescent="0.3">
      <c r="A190" s="13" t="s">
        <v>74</v>
      </c>
      <c r="B190" s="32">
        <f>4*($H$58-$H$64)/($H$60-$H$64)+1</f>
        <v>3.2222222222222219</v>
      </c>
      <c r="C190" s="32">
        <f t="shared" ref="C190:C197" si="85">4*(J36-MAX($J$35:$J$43))/(MIN($J$35:$J$43)-MAX($J$35:$J$43))+1</f>
        <v>4.2322274881516595</v>
      </c>
      <c r="D190" s="32">
        <f t="shared" ref="D190:D197" si="86">4*(I36-MIN($I$35:$I$43))/(MAX($I$35:$I$43)-MIN($I$35:$I$43))+1</f>
        <v>2.333333333333333</v>
      </c>
      <c r="E190" s="32">
        <f t="shared" ref="E190:E197" si="87">4*(K36-MIN($K$35:$K$43))/(MAX($K$35:$K$43)-MIN($K$35:$K$43))+1</f>
        <v>5</v>
      </c>
      <c r="F190" s="32">
        <f t="shared" ref="F190:F197" si="88">5-4*(H36-MIN($H$35:$H$43))/(MAX($H$35:$H$43)-MIN($H$35:$H$43))</f>
        <v>4.361029842012873</v>
      </c>
      <c r="G190" s="32">
        <f>5-(4*($F$58-MIN($F$57:$F$65))/(MAX($F$57:$F$65)-MIN($F$57:$F$65)))</f>
        <v>5</v>
      </c>
      <c r="H190" s="32">
        <f>5-(4*($G$58-$G$58)/($G$57-$G$58))</f>
        <v>5</v>
      </c>
      <c r="I190">
        <v>5</v>
      </c>
      <c r="J190" s="31">
        <f t="shared" si="84"/>
        <v>4.2686016107150113</v>
      </c>
      <c r="K190" s="31">
        <f t="shared" ref="K190:K197" si="89">(2*(B190+C190+G190)+D190+E190+F190+H190+I190)/11</f>
        <v>4.236660236008543</v>
      </c>
      <c r="L190" s="31">
        <f t="shared" ref="L190:L197" si="90">(2*(D190+E190+F190+H190)+B190+C190+G190+I190)/12</f>
        <v>4.2369313384221909</v>
      </c>
    </row>
    <row r="191" spans="1:12" x14ac:dyDescent="0.3">
      <c r="A191" t="s">
        <v>75</v>
      </c>
      <c r="B191" s="32">
        <f>4*($H$59-$H$64)/($H$60-$H$64)+1</f>
        <v>5</v>
      </c>
      <c r="C191" s="32">
        <f t="shared" si="85"/>
        <v>4.2322274881516595</v>
      </c>
      <c r="D191" s="32">
        <f t="shared" si="86"/>
        <v>1</v>
      </c>
      <c r="E191" s="32">
        <f t="shared" si="87"/>
        <v>1</v>
      </c>
      <c r="F191" s="32">
        <f t="shared" si="88"/>
        <v>1</v>
      </c>
      <c r="G191" s="32">
        <f>5-(4*($F$59-MIN($F$57:$F$65))/(MAX($F$57:$F$65)-MIN($F$57:$F$65)))</f>
        <v>5</v>
      </c>
      <c r="H191" s="32">
        <f>5-(4*($G$59-$G$58)/($G$57-$G$58))</f>
        <v>5</v>
      </c>
      <c r="I191">
        <v>5</v>
      </c>
      <c r="J191" s="31">
        <f t="shared" si="84"/>
        <v>3.4040284360189572</v>
      </c>
      <c r="K191" s="31">
        <f t="shared" si="89"/>
        <v>3.7694959069366649</v>
      </c>
      <c r="L191" s="31">
        <f t="shared" si="90"/>
        <v>2.9360189573459716</v>
      </c>
    </row>
    <row r="192" spans="1:12" x14ac:dyDescent="0.3">
      <c r="A192" t="s">
        <v>76</v>
      </c>
      <c r="B192" s="32">
        <f>4*($H$60-$H$64)/($H$60-$H$64)+1</f>
        <v>5</v>
      </c>
      <c r="C192" s="32">
        <f t="shared" si="85"/>
        <v>4.2322274881516595</v>
      </c>
      <c r="D192" s="32">
        <f t="shared" si="86"/>
        <v>2.333333333333333</v>
      </c>
      <c r="E192" s="32">
        <f t="shared" si="87"/>
        <v>5</v>
      </c>
      <c r="F192" s="32">
        <f t="shared" si="88"/>
        <v>4.2135751901696903</v>
      </c>
      <c r="G192" s="32">
        <f>5-(4*($F$60-MIN($F$57:$F$65))/(MAX($F$57:$F$65)-MIN($F$57:$F$65)))</f>
        <v>4.5999999999999996</v>
      </c>
      <c r="H192" s="32">
        <f>5-(4*($G$60-$G$58)/($G$57-$G$58))</f>
        <v>5</v>
      </c>
      <c r="I192">
        <v>5</v>
      </c>
      <c r="J192" s="31">
        <f t="shared" si="84"/>
        <v>4.4223920014568359</v>
      </c>
      <c r="K192" s="31">
        <f t="shared" si="89"/>
        <v>4.4737603181642127</v>
      </c>
      <c r="L192" s="31">
        <f t="shared" si="90"/>
        <v>4.327170377929809</v>
      </c>
    </row>
    <row r="193" spans="1:12" x14ac:dyDescent="0.3">
      <c r="A193" t="s">
        <v>77</v>
      </c>
      <c r="B193" s="32">
        <f>4*($H$61-$H$64)/($H$60-$H$64)+1</f>
        <v>5</v>
      </c>
      <c r="C193" s="32">
        <f t="shared" si="85"/>
        <v>4.2322274881516595</v>
      </c>
      <c r="D193" s="32">
        <f t="shared" si="86"/>
        <v>2.333333333333333</v>
      </c>
      <c r="E193" s="32">
        <f t="shared" si="87"/>
        <v>3.666666666666667</v>
      </c>
      <c r="F193" s="32">
        <f t="shared" si="88"/>
        <v>2.9894675248683442</v>
      </c>
      <c r="G193" s="32">
        <f>5-(4*($F$61-MIN($F$57:$F$65))/(MAX($F$57:$F$65)-MIN($F$57:$F$65)))</f>
        <v>5</v>
      </c>
      <c r="H193" s="32">
        <f>5-(4*($G$61-$G$58)/($G$57-$G$58))</f>
        <v>5</v>
      </c>
      <c r="I193">
        <v>1</v>
      </c>
      <c r="J193" s="31">
        <f t="shared" si="84"/>
        <v>3.6527118766275009</v>
      </c>
      <c r="K193" s="31">
        <f t="shared" si="89"/>
        <v>3.9503565910156055</v>
      </c>
      <c r="L193" s="31">
        <f t="shared" si="90"/>
        <v>3.6009302114906956</v>
      </c>
    </row>
    <row r="194" spans="1:12" x14ac:dyDescent="0.3">
      <c r="A194" t="s">
        <v>78</v>
      </c>
      <c r="B194" s="32">
        <f>4*($H$62-$H$64)/($H$60-$H$64)+1</f>
        <v>1</v>
      </c>
      <c r="C194" s="32">
        <v>0</v>
      </c>
      <c r="D194" s="32">
        <f t="shared" si="86"/>
        <v>3.666666666666667</v>
      </c>
      <c r="E194" s="32">
        <f t="shared" si="87"/>
        <v>5</v>
      </c>
      <c r="F194" s="32">
        <f t="shared" si="88"/>
        <v>4.1456992393212406</v>
      </c>
      <c r="G194" s="32">
        <f>5-(4*($F$62-MIN($F$57:$F$65))/(MAX($F$57:$F$65)-MIN($F$57:$F$65)))</f>
        <v>1</v>
      </c>
      <c r="H194" s="32">
        <f>5-(4*($G$62-$G$58)/($G$57-$G$58))</f>
        <v>5</v>
      </c>
      <c r="I194">
        <v>3</v>
      </c>
      <c r="J194" s="31">
        <f t="shared" si="84"/>
        <v>2.8515457382484888</v>
      </c>
      <c r="K194" s="31">
        <f t="shared" si="89"/>
        <v>2.2556696278170829</v>
      </c>
      <c r="L194" s="31">
        <f t="shared" si="90"/>
        <v>3.3853943176646517</v>
      </c>
    </row>
    <row r="195" spans="1:12" x14ac:dyDescent="0.3">
      <c r="A195" t="s">
        <v>79</v>
      </c>
      <c r="B195" s="32">
        <f>4*($H$63-$H$64)/($H$60-$H$64)+1</f>
        <v>3.6666666666666665</v>
      </c>
      <c r="C195" s="32">
        <f t="shared" si="85"/>
        <v>5</v>
      </c>
      <c r="D195" s="32">
        <f t="shared" si="86"/>
        <v>1</v>
      </c>
      <c r="E195" s="32">
        <f t="shared" si="87"/>
        <v>5</v>
      </c>
      <c r="F195" s="32">
        <f t="shared" si="88"/>
        <v>3.3662960795787011</v>
      </c>
      <c r="G195" s="32">
        <f>5-(4*($F$63-MIN($F$57:$F$65))/(MAX($F$57:$F$65)-MIN($F$57:$F$65)))</f>
        <v>5</v>
      </c>
      <c r="H195" s="32">
        <f>5-(4*($G$63-$G$58)/($G$57-$G$58))</f>
        <v>5</v>
      </c>
      <c r="I195">
        <v>5</v>
      </c>
      <c r="J195" s="31">
        <f t="shared" si="84"/>
        <v>4.1291203432806709</v>
      </c>
      <c r="K195" s="31">
        <f t="shared" si="89"/>
        <v>4.2454208557192752</v>
      </c>
      <c r="L195" s="31">
        <f t="shared" si="90"/>
        <v>3.9499382354853392</v>
      </c>
    </row>
    <row r="196" spans="1:12" x14ac:dyDescent="0.3">
      <c r="A196" t="s">
        <v>80</v>
      </c>
      <c r="B196" s="32">
        <f>4*($H$64-$H$64)/($H$60-$H$64)+1</f>
        <v>1</v>
      </c>
      <c r="C196" s="32">
        <f t="shared" si="85"/>
        <v>1</v>
      </c>
      <c r="D196" s="32">
        <f t="shared" si="86"/>
        <v>5</v>
      </c>
      <c r="E196" s="32">
        <f t="shared" si="87"/>
        <v>5</v>
      </c>
      <c r="F196" s="32">
        <f t="shared" si="88"/>
        <v>5</v>
      </c>
      <c r="G196" s="32">
        <f>5-(4*($F$64-MIN($F$57:$F$65))/(MAX($F$57:$F$65)-MIN($F$57:$F$65)))</f>
        <v>5</v>
      </c>
      <c r="H196" s="32">
        <f>5-(4*($G$64-$G$58)/($G$57-$G$58))</f>
        <v>5</v>
      </c>
      <c r="I196">
        <v>5</v>
      </c>
      <c r="J196" s="31">
        <f t="shared" si="84"/>
        <v>4</v>
      </c>
      <c r="K196" s="31">
        <f t="shared" si="89"/>
        <v>3.5454545454545454</v>
      </c>
      <c r="L196" s="31">
        <f t="shared" si="90"/>
        <v>4.333333333333333</v>
      </c>
    </row>
    <row r="197" spans="1:12" x14ac:dyDescent="0.3">
      <c r="A197" t="s">
        <v>81</v>
      </c>
      <c r="B197" s="32">
        <f>4*($H$65-$H$64)/($H$60-$H$64)+1</f>
        <v>5</v>
      </c>
      <c r="C197" s="32">
        <f t="shared" si="85"/>
        <v>4.2322274881516595</v>
      </c>
      <c r="D197" s="32">
        <f t="shared" si="86"/>
        <v>2.333333333333333</v>
      </c>
      <c r="E197" s="32">
        <f t="shared" si="87"/>
        <v>5</v>
      </c>
      <c r="F197" s="32">
        <f t="shared" si="88"/>
        <v>4.2159157401989464</v>
      </c>
      <c r="G197" s="32">
        <f>5-(4*($F$65-MIN($F$57:$F$65))/(MAX($F$57:$F$65)-MIN($F$57:$F$65)))</f>
        <v>4.8</v>
      </c>
      <c r="H197" s="32">
        <f>5-(4*($G$65-$G$58)/($G$57-$G$58))</f>
        <v>5</v>
      </c>
      <c r="I197">
        <v>5</v>
      </c>
      <c r="J197" s="31">
        <f t="shared" si="84"/>
        <v>4.4476845702104928</v>
      </c>
      <c r="K197" s="31">
        <f t="shared" si="89"/>
        <v>4.5103367318032364</v>
      </c>
      <c r="L197" s="31">
        <f t="shared" si="90"/>
        <v>4.3442271362680183</v>
      </c>
    </row>
    <row r="199" spans="1:12" x14ac:dyDescent="0.3">
      <c r="A199" s="1" t="s">
        <v>90</v>
      </c>
      <c r="B199" t="s">
        <v>99</v>
      </c>
      <c r="C199" t="s">
        <v>100</v>
      </c>
      <c r="D199" t="s">
        <v>101</v>
      </c>
      <c r="E199" t="s">
        <v>102</v>
      </c>
      <c r="F199" t="s">
        <v>103</v>
      </c>
      <c r="G199" t="s">
        <v>104</v>
      </c>
      <c r="H199" t="s">
        <v>105</v>
      </c>
      <c r="I199" t="s">
        <v>106</v>
      </c>
      <c r="J199" t="s">
        <v>110</v>
      </c>
      <c r="K199" t="s">
        <v>108</v>
      </c>
      <c r="L199" t="s">
        <v>109</v>
      </c>
    </row>
    <row r="200" spans="1:12" x14ac:dyDescent="0.3">
      <c r="A200" t="s">
        <v>73</v>
      </c>
      <c r="B200" s="32">
        <f>4*($H$57-$H$64)/($H$60-$H$64)+1</f>
        <v>5</v>
      </c>
      <c r="C200" s="32">
        <f>4*(P35-MAX($P$35:$P$43))/(MIN($P$35:$P$43)-MAX($P$35:$P$43))+1</f>
        <v>4.2322274881516595</v>
      </c>
      <c r="D200" s="32">
        <f>4*(O35-MIN($O$35:$O$43))/(MAX($O$35:$O$43)-MIN($O$35:$O$43))+1</f>
        <v>2.333333333333333</v>
      </c>
      <c r="E200" s="32">
        <f>4*(Q35-MIN($Q$35:$Q$43))/(MAX($Q$35:$Q$43)-MIN($Q$35:$Q$43))+1</f>
        <v>5</v>
      </c>
      <c r="F200" s="32">
        <f>5-4*(N35-MIN($N$35:$N$43))/(MAX($N$35:$N$43)-MIN($N$35:$N$43))</f>
        <v>3.8133453561767361</v>
      </c>
      <c r="G200" s="32">
        <f>5-(4*($F$57-MIN($F$57:$F$65))/(MAX($F$57:$F$65)-MIN($F$57:$F$65)))</f>
        <v>5</v>
      </c>
      <c r="H200" s="32">
        <f>5-(4*($G$57-$G$58)/($G$57-$G$58))</f>
        <v>1</v>
      </c>
      <c r="I200">
        <v>5</v>
      </c>
      <c r="J200" s="31">
        <f t="shared" ref="J200:J208" si="91">AVERAGE(B200:I200)</f>
        <v>3.9223632722077162</v>
      </c>
      <c r="K200" s="31">
        <f>(2*(B200+C200+G200)+D200+E200+F200+H200+I200)/11</f>
        <v>4.1464666968921255</v>
      </c>
      <c r="L200" s="31">
        <f>(2*(D200+E200+F200+H200)+B200+C200+G200+I200)/12</f>
        <v>3.6271320722643163</v>
      </c>
    </row>
    <row r="201" spans="1:12" x14ac:dyDescent="0.3">
      <c r="A201" s="13" t="s">
        <v>74</v>
      </c>
      <c r="B201" s="32">
        <f>4*($H$58-$H$64)/($H$60-$H$64)+1</f>
        <v>3.2222222222222219</v>
      </c>
      <c r="C201" s="32">
        <f t="shared" ref="C201:C208" si="92">4*(P36-MAX($P$35:$P$43))/(MIN($P$35:$P$43)-MAX($P$35:$P$43))+1</f>
        <v>4.2322274881516595</v>
      </c>
      <c r="D201" s="32">
        <f t="shared" ref="D201:D208" si="93">4*(O36-MIN($O$35:$O$43))/(MAX($O$35:$O$43)-MIN($O$35:$O$43))+1</f>
        <v>2.333333333333333</v>
      </c>
      <c r="E201" s="32">
        <f t="shared" ref="E201:E208" si="94">4*(Q36-MIN($Q$35:$Q$43))/(MAX($Q$35:$Q$43)-MIN($Q$35:$Q$43))+1</f>
        <v>5</v>
      </c>
      <c r="F201" s="32">
        <f t="shared" ref="F201:F208" si="95">5-4*(N36-MIN($N$35:$N$43))/(MAX($N$35:$N$43)-MIN($N$35:$N$43))</f>
        <v>3.9071235347159607</v>
      </c>
      <c r="G201" s="32">
        <f>5-(4*($F$58-MIN($F$57:$F$65))/(MAX($F$57:$F$65)-MIN($F$57:$F$65)))</f>
        <v>5</v>
      </c>
      <c r="H201" s="32">
        <f>5-(4*($G$58-$G$58)/($G$57-$G$58))</f>
        <v>5</v>
      </c>
      <c r="I201">
        <v>5</v>
      </c>
      <c r="J201" s="31">
        <f t="shared" si="91"/>
        <v>4.2118633223028965</v>
      </c>
      <c r="K201" s="31">
        <f t="shared" ref="K201:K208" si="96">(2*(B201+C201+G201)+D201+E201+F201+H201+I201)/11</f>
        <v>4.1953960262542775</v>
      </c>
      <c r="L201" s="31">
        <f t="shared" ref="L201:L208" si="97">(2*(D201+E201+F201+H201)+B201+C201+G201+I201)/12</f>
        <v>4.161280287206039</v>
      </c>
    </row>
    <row r="202" spans="1:12" x14ac:dyDescent="0.3">
      <c r="A202" t="s">
        <v>75</v>
      </c>
      <c r="B202" s="32">
        <f>4*($H$59-$H$64)/($H$60-$H$64)+1</f>
        <v>5</v>
      </c>
      <c r="C202" s="32">
        <f t="shared" si="92"/>
        <v>4.2322274881516595</v>
      </c>
      <c r="D202" s="32">
        <f t="shared" si="93"/>
        <v>1</v>
      </c>
      <c r="E202" s="32">
        <f t="shared" si="94"/>
        <v>1</v>
      </c>
      <c r="F202" s="32">
        <f t="shared" si="95"/>
        <v>1</v>
      </c>
      <c r="G202" s="32">
        <f>5-(4*($F$59-MIN($F$57:$F$65))/(MAX($F$57:$F$65)-MIN($F$57:$F$65)))</f>
        <v>5</v>
      </c>
      <c r="H202" s="32">
        <f>5-(4*($G$59-$G$58)/($G$57-$G$58))</f>
        <v>5</v>
      </c>
      <c r="I202">
        <v>5</v>
      </c>
      <c r="J202" s="31">
        <f t="shared" si="91"/>
        <v>3.4040284360189572</v>
      </c>
      <c r="K202" s="31">
        <f t="shared" si="96"/>
        <v>3.7694959069366649</v>
      </c>
      <c r="L202" s="31">
        <f t="shared" si="97"/>
        <v>2.9360189573459716</v>
      </c>
    </row>
    <row r="203" spans="1:12" x14ac:dyDescent="0.3">
      <c r="A203" t="s">
        <v>76</v>
      </c>
      <c r="B203" s="32">
        <f>4*($H$60-$H$64)/($H$60-$H$64)+1</f>
        <v>5</v>
      </c>
      <c r="C203" s="32">
        <f t="shared" si="92"/>
        <v>4.2322274881516595</v>
      </c>
      <c r="D203" s="32">
        <f t="shared" si="93"/>
        <v>3.666666666666667</v>
      </c>
      <c r="E203" s="32">
        <f t="shared" si="94"/>
        <v>5</v>
      </c>
      <c r="F203" s="32">
        <f t="shared" si="95"/>
        <v>4.6284941388638412</v>
      </c>
      <c r="G203" s="32">
        <f>5-(4*($F$60-MIN($F$57:$F$65))/(MAX($F$57:$F$65)-MIN($F$57:$F$65)))</f>
        <v>4.5999999999999996</v>
      </c>
      <c r="H203" s="32">
        <f>5-(4*($G$60-$G$58)/($G$57-$G$58))</f>
        <v>5</v>
      </c>
      <c r="I203">
        <v>5</v>
      </c>
      <c r="J203" s="31">
        <f t="shared" si="91"/>
        <v>4.6409235367102708</v>
      </c>
      <c r="K203" s="31">
        <f t="shared" si="96"/>
        <v>4.6326923438030754</v>
      </c>
      <c r="L203" s="31">
        <f t="shared" si="97"/>
        <v>4.6185457582677225</v>
      </c>
    </row>
    <row r="204" spans="1:12" x14ac:dyDescent="0.3">
      <c r="A204" t="s">
        <v>77</v>
      </c>
      <c r="B204" s="32">
        <f>4*($H$61-$H$64)/($H$60-$H$64)+1</f>
        <v>5</v>
      </c>
      <c r="C204" s="32">
        <f t="shared" si="92"/>
        <v>4.2322274881516595</v>
      </c>
      <c r="D204" s="32">
        <f t="shared" si="93"/>
        <v>2.333333333333333</v>
      </c>
      <c r="E204" s="32">
        <f t="shared" si="94"/>
        <v>5</v>
      </c>
      <c r="F204" s="32">
        <f t="shared" si="95"/>
        <v>4.0658250676284942</v>
      </c>
      <c r="G204" s="32">
        <f>5-(4*($F$61-MIN($F$57:$F$65))/(MAX($F$57:$F$65)-MIN($F$57:$F$65)))</f>
        <v>5</v>
      </c>
      <c r="H204" s="32">
        <f>5-(4*($G$61-$G$58)/($G$57-$G$58))</f>
        <v>5</v>
      </c>
      <c r="I204">
        <v>1</v>
      </c>
      <c r="J204" s="31">
        <f t="shared" si="91"/>
        <v>3.9539232361391861</v>
      </c>
      <c r="K204" s="31">
        <f t="shared" si="96"/>
        <v>4.1694193979331953</v>
      </c>
      <c r="L204" s="31">
        <f t="shared" si="97"/>
        <v>4.0025453575062757</v>
      </c>
    </row>
    <row r="205" spans="1:12" x14ac:dyDescent="0.3">
      <c r="A205" t="s">
        <v>78</v>
      </c>
      <c r="B205" s="32">
        <f>4*($H$62-$H$64)/($H$60-$H$64)+1</f>
        <v>1</v>
      </c>
      <c r="C205" s="32">
        <v>0</v>
      </c>
      <c r="D205" s="32">
        <f t="shared" si="93"/>
        <v>3.666666666666667</v>
      </c>
      <c r="E205" s="32">
        <f t="shared" si="94"/>
        <v>5</v>
      </c>
      <c r="F205" s="32">
        <f t="shared" si="95"/>
        <v>3.6834986474301177</v>
      </c>
      <c r="G205" s="32">
        <f>5-(4*($F$62-MIN($F$57:$F$65))/(MAX($F$57:$F$65)-MIN($F$57:$F$65)))</f>
        <v>1</v>
      </c>
      <c r="H205" s="32">
        <f>5-(4*($G$62-$G$58)/($G$57-$G$58))</f>
        <v>5</v>
      </c>
      <c r="I205">
        <v>3</v>
      </c>
      <c r="J205" s="31">
        <f t="shared" si="91"/>
        <v>2.7937706642620981</v>
      </c>
      <c r="K205" s="31">
        <f t="shared" si="96"/>
        <v>2.2136513921906169</v>
      </c>
      <c r="L205" s="31">
        <f t="shared" si="97"/>
        <v>3.3083608856827973</v>
      </c>
    </row>
    <row r="206" spans="1:12" x14ac:dyDescent="0.3">
      <c r="A206" t="s">
        <v>79</v>
      </c>
      <c r="B206" s="32">
        <f>4*($H$63-$H$64)/($H$60-$H$64)+1</f>
        <v>3.6666666666666665</v>
      </c>
      <c r="C206" s="32">
        <f t="shared" si="92"/>
        <v>5</v>
      </c>
      <c r="D206" s="32">
        <f t="shared" si="93"/>
        <v>1</v>
      </c>
      <c r="E206" s="32">
        <f t="shared" si="94"/>
        <v>5</v>
      </c>
      <c r="F206" s="32">
        <f t="shared" si="95"/>
        <v>2.3958521190261499</v>
      </c>
      <c r="G206" s="32">
        <f>5-(4*($F$63-MIN($F$57:$F$65))/(MAX($F$57:$F$65)-MIN($F$57:$F$65)))</f>
        <v>5</v>
      </c>
      <c r="H206" s="32">
        <f>5-(4*($G$63-$G$58)/($G$57-$G$58))</f>
        <v>5</v>
      </c>
      <c r="I206">
        <v>5</v>
      </c>
      <c r="J206" s="31">
        <f t="shared" si="91"/>
        <v>4.0078148482116021</v>
      </c>
      <c r="K206" s="31">
        <f t="shared" si="96"/>
        <v>4.1571986774872256</v>
      </c>
      <c r="L206" s="31">
        <f t="shared" si="97"/>
        <v>3.7881975753932475</v>
      </c>
    </row>
    <row r="207" spans="1:12" x14ac:dyDescent="0.3">
      <c r="A207" t="s">
        <v>80</v>
      </c>
      <c r="B207" s="32">
        <f>4*($H$64-$H$64)/($H$60-$H$64)+1</f>
        <v>1</v>
      </c>
      <c r="C207" s="32">
        <f t="shared" si="92"/>
        <v>1</v>
      </c>
      <c r="D207" s="32">
        <f t="shared" si="93"/>
        <v>5</v>
      </c>
      <c r="E207" s="32">
        <f t="shared" si="94"/>
        <v>5</v>
      </c>
      <c r="F207" s="32">
        <f t="shared" si="95"/>
        <v>5</v>
      </c>
      <c r="G207" s="32">
        <f>5-(4*($F$64-MIN($F$57:$F$65))/(MAX($F$57:$F$65)-MIN($F$57:$F$65)))</f>
        <v>5</v>
      </c>
      <c r="H207" s="32">
        <f>5-(4*($G$64-$G$58)/($G$57-$G$58))</f>
        <v>5</v>
      </c>
      <c r="I207">
        <v>5</v>
      </c>
      <c r="J207" s="31">
        <f t="shared" si="91"/>
        <v>4</v>
      </c>
      <c r="K207" s="31">
        <f t="shared" si="96"/>
        <v>3.5454545454545454</v>
      </c>
      <c r="L207" s="31">
        <f t="shared" si="97"/>
        <v>4.333333333333333</v>
      </c>
    </row>
    <row r="208" spans="1:12" x14ac:dyDescent="0.3">
      <c r="A208" t="s">
        <v>81</v>
      </c>
      <c r="B208" s="32">
        <f>4*($H$65-$H$64)/($H$60-$H$64)+1</f>
        <v>5</v>
      </c>
      <c r="C208" s="32">
        <f t="shared" si="92"/>
        <v>4.2322274881516595</v>
      </c>
      <c r="D208" s="32">
        <f t="shared" si="93"/>
        <v>2.333333333333333</v>
      </c>
      <c r="E208" s="32">
        <f t="shared" si="94"/>
        <v>5</v>
      </c>
      <c r="F208" s="32">
        <f t="shared" si="95"/>
        <v>4.0189359783588818</v>
      </c>
      <c r="G208" s="32">
        <f>5-(4*($F$65-MIN($F$57:$F$65))/(MAX($F$57:$F$65)-MIN($F$57:$F$65)))</f>
        <v>4.8</v>
      </c>
      <c r="H208" s="32">
        <f>5-(4*($G$65-$G$58)/($G$57-$G$58))</f>
        <v>5</v>
      </c>
      <c r="I208">
        <v>5</v>
      </c>
      <c r="J208" s="31">
        <f t="shared" si="91"/>
        <v>4.4230620999804842</v>
      </c>
      <c r="K208" s="31">
        <f t="shared" si="96"/>
        <v>4.4924294807268668</v>
      </c>
      <c r="L208" s="31">
        <f t="shared" si="97"/>
        <v>4.3113971759613401</v>
      </c>
    </row>
    <row r="210" spans="1:12" x14ac:dyDescent="0.3">
      <c r="A210" s="1" t="s">
        <v>91</v>
      </c>
      <c r="B210" t="s">
        <v>99</v>
      </c>
      <c r="C210" t="s">
        <v>100</v>
      </c>
      <c r="D210" t="s">
        <v>101</v>
      </c>
      <c r="E210" t="s">
        <v>102</v>
      </c>
      <c r="F210" t="s">
        <v>103</v>
      </c>
      <c r="G210" t="s">
        <v>104</v>
      </c>
      <c r="H210" t="s">
        <v>105</v>
      </c>
      <c r="I210" t="s">
        <v>106</v>
      </c>
      <c r="J210" t="s">
        <v>110</v>
      </c>
      <c r="K210" t="s">
        <v>108</v>
      </c>
      <c r="L210" t="s">
        <v>109</v>
      </c>
    </row>
    <row r="211" spans="1:12" x14ac:dyDescent="0.3">
      <c r="A211" t="s">
        <v>73</v>
      </c>
      <c r="B211" s="32">
        <f>4*($H$57-$H$64)/($H$60-$H$64)+1</f>
        <v>5</v>
      </c>
      <c r="C211" s="32">
        <f>4*(D46-MAX($D$46:$D$54))/(MIN($D$46:$D$54)-MAX($D$46:$D$54))+1</f>
        <v>4.2322274881516595</v>
      </c>
      <c r="D211" s="32">
        <f>4*(C46-MIN($C$46:$C$54))/(MAX($C$46:$C$54)-MIN($C$46:$C$54))+1</f>
        <v>2.333333333333333</v>
      </c>
      <c r="E211" s="32">
        <f>4*(E46-MIN($E$46:$E$54))/(MAX($E$46:$E$54)-MIN($E$46:$E$54))+1</f>
        <v>5</v>
      </c>
      <c r="F211" s="32">
        <f>5-4*(B46-MIN($B$46:$B$54))/(MAX($B$46:$B$54)-MIN($B$46:$B$54))</f>
        <v>3.3774011299435029</v>
      </c>
      <c r="G211" s="32">
        <f>5-(4*($F$57-MIN($F$57:$F$65))/(MAX($F$57:$F$65)-MIN($F$57:$F$65)))</f>
        <v>5</v>
      </c>
      <c r="H211" s="32">
        <f>5-(4*($G$57-$G$58)/($G$57-$G$58))</f>
        <v>1</v>
      </c>
      <c r="I211">
        <v>5</v>
      </c>
      <c r="J211" s="31">
        <f t="shared" ref="J211:J219" si="98">AVERAGE(B211:I211)</f>
        <v>3.8678702439285622</v>
      </c>
      <c r="K211" s="31">
        <f>(2*(B211+C211+G211)+D211+E211+F211+H211+I211)/11</f>
        <v>4.106835403598196</v>
      </c>
      <c r="L211" s="31">
        <f>(2*(D211+E211+F211+H211)+B211+C211+G211+I211)/12</f>
        <v>3.5544747012254443</v>
      </c>
    </row>
    <row r="212" spans="1:12" x14ac:dyDescent="0.3">
      <c r="A212" s="13" t="s">
        <v>74</v>
      </c>
      <c r="B212" s="32">
        <f>4*($H$58-$H$64)/($H$60-$H$64)+1</f>
        <v>3.2222222222222219</v>
      </c>
      <c r="C212" s="32">
        <f t="shared" ref="C212:C219" si="99">4*(D47-MAX($D$46:$D$54))/(MIN($D$46:$D$54)-MAX($D$46:$D$54))+1</f>
        <v>4.298578199052133</v>
      </c>
      <c r="D212" s="32">
        <f t="shared" ref="D212:D219" si="100">4*(C47-MIN($C$46:$C$54))/(MAX($C$46:$C$54)-MIN($C$46:$C$54))+1</f>
        <v>3.666666666666667</v>
      </c>
      <c r="E212" s="32">
        <f t="shared" ref="E212:E219" si="101">4*(E47-MIN($E$46:$E$54))/(MAX($E$46:$E$54)-MIN($E$46:$E$54))+1</f>
        <v>5</v>
      </c>
      <c r="F212" s="32">
        <f t="shared" ref="F212:F219" si="102">5-4*(B47-MIN($B$46:$B$54))/(MAX($B$46:$B$54)-MIN($B$46:$B$54))</f>
        <v>3.3502824858757068</v>
      </c>
      <c r="G212" s="32">
        <f>5-(4*($F$58-MIN($F$57:$F$65))/(MAX($F$57:$F$65)-MIN($F$57:$F$65)))</f>
        <v>5</v>
      </c>
      <c r="H212" s="32">
        <f>5-(4*($G$58-$G$58)/($G$57-$G$58))</f>
        <v>5</v>
      </c>
      <c r="I212">
        <v>5</v>
      </c>
      <c r="J212" s="31">
        <f t="shared" si="98"/>
        <v>4.3172186967270907</v>
      </c>
      <c r="K212" s="31">
        <f t="shared" ref="K212:K219" si="103">(2*(B212+C212+G212)+D212+E212+F212+H212+I212)/11</f>
        <v>4.2780499995537351</v>
      </c>
      <c r="L212" s="31">
        <f t="shared" ref="L212:L219" si="104">(2*(D212+E212+F212+H212)+B212+C212+G212+I212)/12</f>
        <v>4.2962248938632586</v>
      </c>
    </row>
    <row r="213" spans="1:12" x14ac:dyDescent="0.3">
      <c r="A213" t="s">
        <v>75</v>
      </c>
      <c r="B213" s="32">
        <f>4*($H$59-$H$64)/($H$60-$H$64)+1</f>
        <v>5</v>
      </c>
      <c r="C213" s="32">
        <f t="shared" si="99"/>
        <v>4.2322274881516595</v>
      </c>
      <c r="D213" s="32">
        <f t="shared" si="100"/>
        <v>2.333333333333333</v>
      </c>
      <c r="E213" s="32">
        <f t="shared" si="101"/>
        <v>1</v>
      </c>
      <c r="F213" s="32">
        <f t="shared" si="102"/>
        <v>1</v>
      </c>
      <c r="G213" s="32">
        <f>5-(4*($F$59-MIN($F$57:$F$65))/(MAX($F$57:$F$65)-MIN($F$57:$F$65)))</f>
        <v>5</v>
      </c>
      <c r="H213" s="32">
        <f>5-(4*($G$59-$G$58)/($G$57-$G$58))</f>
        <v>5</v>
      </c>
      <c r="I213">
        <v>5</v>
      </c>
      <c r="J213" s="31">
        <f t="shared" si="98"/>
        <v>3.5706951026856242</v>
      </c>
      <c r="K213" s="31">
        <f t="shared" si="103"/>
        <v>3.8907080281487865</v>
      </c>
      <c r="L213" s="31">
        <f t="shared" si="104"/>
        <v>3.1582411795681935</v>
      </c>
    </row>
    <row r="214" spans="1:12" x14ac:dyDescent="0.3">
      <c r="A214" t="s">
        <v>76</v>
      </c>
      <c r="B214" s="32">
        <f>4*($H$60-$H$64)/($H$60-$H$64)+1</f>
        <v>5</v>
      </c>
      <c r="C214" s="32">
        <f t="shared" si="99"/>
        <v>4.2322274881516595</v>
      </c>
      <c r="D214" s="32">
        <f t="shared" si="100"/>
        <v>2.333333333333333</v>
      </c>
      <c r="E214" s="32">
        <f t="shared" si="101"/>
        <v>5</v>
      </c>
      <c r="F214" s="32">
        <f t="shared" si="102"/>
        <v>4.4169491525423732</v>
      </c>
      <c r="G214" s="32">
        <f>5-(4*($F$60-MIN($F$57:$F$65))/(MAX($F$57:$F$65)-MIN($F$57:$F$65)))</f>
        <v>4.5999999999999996</v>
      </c>
      <c r="H214" s="32">
        <f>5-(4*($G$60-$G$58)/($G$57-$G$58))</f>
        <v>5</v>
      </c>
      <c r="I214">
        <v>5</v>
      </c>
      <c r="J214" s="31">
        <f t="shared" si="98"/>
        <v>4.4478137467534209</v>
      </c>
      <c r="K214" s="31">
        <f t="shared" si="103"/>
        <v>4.4922488601980923</v>
      </c>
      <c r="L214" s="31">
        <f t="shared" si="104"/>
        <v>4.361066038325256</v>
      </c>
    </row>
    <row r="215" spans="1:12" x14ac:dyDescent="0.3">
      <c r="A215" t="s">
        <v>77</v>
      </c>
      <c r="B215" s="32">
        <f>4*($H$61-$H$64)/($H$60-$H$64)+1</f>
        <v>5</v>
      </c>
      <c r="C215" s="32">
        <f t="shared" si="99"/>
        <v>4.2322274881516595</v>
      </c>
      <c r="D215" s="32">
        <f t="shared" si="100"/>
        <v>3.666666666666667</v>
      </c>
      <c r="E215" s="32">
        <f t="shared" si="101"/>
        <v>5</v>
      </c>
      <c r="F215" s="32">
        <f t="shared" si="102"/>
        <v>4.8418079096045199</v>
      </c>
      <c r="G215" s="32">
        <f>5-(4*($F$61-MIN($F$57:$F$65))/(MAX($F$57:$F$65)-MIN($F$57:$F$65)))</f>
        <v>5</v>
      </c>
      <c r="H215" s="32">
        <f>5-(4*($G$61-$G$58)/($G$57-$G$58))</f>
        <v>5</v>
      </c>
      <c r="I215">
        <v>1</v>
      </c>
      <c r="J215" s="31">
        <f t="shared" si="98"/>
        <v>4.217587758052856</v>
      </c>
      <c r="K215" s="31">
        <f t="shared" si="103"/>
        <v>4.3611754138704093</v>
      </c>
      <c r="L215" s="31">
        <f t="shared" si="104"/>
        <v>4.3540980533911693</v>
      </c>
    </row>
    <row r="216" spans="1:12" x14ac:dyDescent="0.3">
      <c r="A216" t="s">
        <v>78</v>
      </c>
      <c r="B216" s="32">
        <f>4*($H$62-$H$64)/($H$60-$H$64)+1</f>
        <v>1</v>
      </c>
      <c r="C216" s="32">
        <v>0</v>
      </c>
      <c r="D216" s="32">
        <f t="shared" si="100"/>
        <v>3.666666666666667</v>
      </c>
      <c r="E216" s="32">
        <f t="shared" si="101"/>
        <v>5</v>
      </c>
      <c r="F216" s="32">
        <f t="shared" si="102"/>
        <v>3.3502824858757068</v>
      </c>
      <c r="G216" s="32">
        <f>5-(4*($F$62-MIN($F$57:$F$65))/(MAX($F$57:$F$65)-MIN($F$57:$F$65)))</f>
        <v>1</v>
      </c>
      <c r="H216" s="32">
        <f>5-(4*($G$62-$G$58)/($G$57-$G$58))</f>
        <v>5</v>
      </c>
      <c r="I216">
        <v>3</v>
      </c>
      <c r="J216" s="31">
        <f t="shared" si="98"/>
        <v>2.7521186440677967</v>
      </c>
      <c r="K216" s="31">
        <f t="shared" si="103"/>
        <v>2.1833590138674883</v>
      </c>
      <c r="L216" s="31">
        <f t="shared" si="104"/>
        <v>3.2528248587570623</v>
      </c>
    </row>
    <row r="217" spans="1:12" x14ac:dyDescent="0.3">
      <c r="A217" t="s">
        <v>79</v>
      </c>
      <c r="B217" s="32">
        <f>4*($H$63-$H$64)/($H$60-$H$64)+1</f>
        <v>3.6666666666666665</v>
      </c>
      <c r="C217" s="32">
        <f t="shared" si="99"/>
        <v>5</v>
      </c>
      <c r="D217" s="32">
        <f t="shared" si="100"/>
        <v>1</v>
      </c>
      <c r="E217" s="32">
        <f t="shared" si="101"/>
        <v>5</v>
      </c>
      <c r="F217" s="32">
        <f t="shared" si="102"/>
        <v>1.5107344632768362</v>
      </c>
      <c r="G217" s="32">
        <f>5-(4*($F$63-MIN($F$57:$F$65))/(MAX($F$57:$F$65)-MIN($F$57:$F$65)))</f>
        <v>5</v>
      </c>
      <c r="H217" s="32">
        <f>5-(4*($G$63-$G$58)/($G$57-$G$58))</f>
        <v>5</v>
      </c>
      <c r="I217">
        <v>5</v>
      </c>
      <c r="J217" s="31">
        <f t="shared" si="98"/>
        <v>3.8971751412429376</v>
      </c>
      <c r="K217" s="31">
        <f t="shared" si="103"/>
        <v>4.076733436055469</v>
      </c>
      <c r="L217" s="31">
        <f t="shared" si="104"/>
        <v>3.6406779661016948</v>
      </c>
    </row>
    <row r="218" spans="1:12" x14ac:dyDescent="0.3">
      <c r="A218" t="s">
        <v>80</v>
      </c>
      <c r="B218" s="32">
        <f>4*($H$64-$H$64)/($H$60-$H$64)+1</f>
        <v>1</v>
      </c>
      <c r="C218" s="32">
        <f t="shared" si="99"/>
        <v>1</v>
      </c>
      <c r="D218" s="32">
        <f t="shared" si="100"/>
        <v>5</v>
      </c>
      <c r="E218" s="32">
        <f t="shared" si="101"/>
        <v>5</v>
      </c>
      <c r="F218" s="32">
        <f t="shared" si="102"/>
        <v>5</v>
      </c>
      <c r="G218" s="32">
        <f>5-(4*($F$64-MIN($F$57:$F$65))/(MAX($F$57:$F$65)-MIN($F$57:$F$65)))</f>
        <v>5</v>
      </c>
      <c r="H218" s="32">
        <f>5-(4*($G$64-$G$58)/($G$57-$G$58))</f>
        <v>5</v>
      </c>
      <c r="I218">
        <v>5</v>
      </c>
      <c r="J218" s="31">
        <f t="shared" si="98"/>
        <v>4</v>
      </c>
      <c r="K218" s="31">
        <f t="shared" si="103"/>
        <v>3.5454545454545454</v>
      </c>
      <c r="L218" s="31">
        <f t="shared" si="104"/>
        <v>4.333333333333333</v>
      </c>
    </row>
    <row r="219" spans="1:12" x14ac:dyDescent="0.3">
      <c r="A219" t="s">
        <v>81</v>
      </c>
      <c r="B219" s="32">
        <f>4*($H$65-$H$64)/($H$60-$H$64)+1</f>
        <v>5</v>
      </c>
      <c r="C219" s="32">
        <f t="shared" si="99"/>
        <v>4.2322274881516595</v>
      </c>
      <c r="D219" s="32">
        <f t="shared" si="100"/>
        <v>2.333333333333333</v>
      </c>
      <c r="E219" s="32">
        <f t="shared" si="101"/>
        <v>5</v>
      </c>
      <c r="F219" s="32">
        <f t="shared" si="102"/>
        <v>3.6531073446327689</v>
      </c>
      <c r="G219" s="32">
        <f>5-(4*($F$65-MIN($F$57:$F$65))/(MAX($F$57:$F$65)-MIN($F$57:$F$65)))</f>
        <v>4.8</v>
      </c>
      <c r="H219" s="32">
        <f>5-(4*($G$65-$G$58)/($G$57-$G$58))</f>
        <v>5</v>
      </c>
      <c r="I219">
        <v>5</v>
      </c>
      <c r="J219" s="31">
        <f t="shared" si="98"/>
        <v>4.3773335207647204</v>
      </c>
      <c r="K219" s="31">
        <f t="shared" si="103"/>
        <v>4.459172332206311</v>
      </c>
      <c r="L219" s="31">
        <f t="shared" si="104"/>
        <v>4.2504257370069878</v>
      </c>
    </row>
    <row r="221" spans="1:12" x14ac:dyDescent="0.3">
      <c r="A221" s="1" t="s">
        <v>92</v>
      </c>
      <c r="B221" t="s">
        <v>99</v>
      </c>
      <c r="C221" t="s">
        <v>100</v>
      </c>
      <c r="D221" t="s">
        <v>101</v>
      </c>
      <c r="E221" t="s">
        <v>102</v>
      </c>
      <c r="F221" t="s">
        <v>103</v>
      </c>
      <c r="G221" t="s">
        <v>104</v>
      </c>
      <c r="H221" t="s">
        <v>105</v>
      </c>
      <c r="I221" t="s">
        <v>106</v>
      </c>
      <c r="J221" t="s">
        <v>110</v>
      </c>
      <c r="K221" t="s">
        <v>108</v>
      </c>
      <c r="L221" t="s">
        <v>109</v>
      </c>
    </row>
    <row r="222" spans="1:12" x14ac:dyDescent="0.3">
      <c r="A222" t="s">
        <v>73</v>
      </c>
      <c r="B222" s="32">
        <f>4*($H$57-$H$64)/($H$60-$H$64)+1</f>
        <v>5</v>
      </c>
      <c r="C222" s="32">
        <f>4*(J46-MAX($J$46:$J$54))/(MIN($J$46:$J$54)-MAX($J$46:$J$54))+1</f>
        <v>1</v>
      </c>
      <c r="D222" s="32">
        <f>4*(I46-MIN($I$46:$I$54))/(MAX($I$46:$I$54)-MIN($I$46:$I$54))+1</f>
        <v>5</v>
      </c>
      <c r="E222" s="32">
        <f>4*(K46-MIN($K$46:$K$54))/(MAX($K$46:$K$54)-MIN($K$46:$K$54))+1</f>
        <v>5</v>
      </c>
      <c r="F222" s="32">
        <f>5-4*(H46-MIN($H$46:$H$54))/(MAX($H$46:$H$54)-MIN($H$46:$H$54))</f>
        <v>4.6705882352941179</v>
      </c>
      <c r="G222" s="32">
        <f>5-(4*($F$57-MIN($F$57:$F$65))/(MAX($F$57:$F$65)-MIN($F$57:$F$65)))</f>
        <v>5</v>
      </c>
      <c r="H222" s="32">
        <f>5-(4*($G$57-$G$58)/($G$57-$G$58))</f>
        <v>1</v>
      </c>
      <c r="I222">
        <v>5</v>
      </c>
      <c r="J222" s="31">
        <f t="shared" ref="J222:J230" si="105">AVERAGE(B222:I222)</f>
        <v>3.9588235294117649</v>
      </c>
      <c r="K222" s="31">
        <f>(2*(B222+C222+G222)+D222+E222+F222+H222+I222)/11</f>
        <v>3.8791443850267382</v>
      </c>
      <c r="L222" s="31">
        <f>(2*(D222+E222+F222+H222)+B222+C222+G222+I222)/12</f>
        <v>3.9450980392156865</v>
      </c>
    </row>
    <row r="223" spans="1:12" x14ac:dyDescent="0.3">
      <c r="A223" s="13" t="s">
        <v>74</v>
      </c>
      <c r="B223" s="32">
        <f>4*($H$58-$H$64)/($H$60-$H$64)+1</f>
        <v>3.2222222222222219</v>
      </c>
      <c r="C223" s="32">
        <f t="shared" ref="C223:C230" si="106">4*(J47-MAX($J$46:$J$54))/(MIN($J$46:$J$54)-MAX($J$46:$J$54))+1</f>
        <v>1</v>
      </c>
      <c r="D223" s="32">
        <f t="shared" ref="D223:D230" si="107">4*(I47-MIN($I$46:$I$54))/(MAX($I$46:$I$54)-MIN($I$46:$I$54))+1</f>
        <v>5</v>
      </c>
      <c r="E223" s="32">
        <f t="shared" ref="E223:E230" si="108">4*(K47-MIN($K$46:$K$54))/(MAX($K$46:$K$54)-MIN($K$46:$K$54))+1</f>
        <v>5</v>
      </c>
      <c r="F223" s="32">
        <f t="shared" ref="F223:F230" si="109">5-4*(H47-MIN($H$46:$H$54))/(MAX($H$46:$H$54)-MIN($H$46:$H$54))</f>
        <v>5</v>
      </c>
      <c r="G223" s="32">
        <f>5-(4*($F$58-MIN($F$57:$F$65))/(MAX($F$57:$F$65)-MIN($F$57:$F$65)))</f>
        <v>5</v>
      </c>
      <c r="H223" s="32">
        <f>5-(4*($G$58-$G$58)/($G$57-$G$58))</f>
        <v>5</v>
      </c>
      <c r="I223">
        <v>5</v>
      </c>
      <c r="J223" s="31">
        <f t="shared" si="105"/>
        <v>4.2777777777777777</v>
      </c>
      <c r="K223" s="31">
        <f t="shared" ref="K223:K230" si="110">(2*(B223+C223+G223)+D223+E223+F223+H223+I223)/11</f>
        <v>3.9494949494949494</v>
      </c>
      <c r="L223" s="31">
        <f t="shared" ref="L223:L230" si="111">(2*(D223+E223+F223+H223)+B223+C223+G223+I223)/12</f>
        <v>4.5185185185185182</v>
      </c>
    </row>
    <row r="224" spans="1:12" x14ac:dyDescent="0.3">
      <c r="A224" t="s">
        <v>75</v>
      </c>
      <c r="B224" s="32">
        <f>4*($H$59-$H$64)/($H$60-$H$64)+1</f>
        <v>5</v>
      </c>
      <c r="C224" s="32">
        <f t="shared" si="106"/>
        <v>1</v>
      </c>
      <c r="D224" s="32">
        <f t="shared" si="107"/>
        <v>1</v>
      </c>
      <c r="E224" s="32">
        <f t="shared" si="108"/>
        <v>1</v>
      </c>
      <c r="F224" s="32">
        <f t="shared" si="109"/>
        <v>1</v>
      </c>
      <c r="G224" s="32">
        <f>5-(4*($F$59-MIN($F$57:$F$65))/(MAX($F$57:$F$65)-MIN($F$57:$F$65)))</f>
        <v>5</v>
      </c>
      <c r="H224" s="32">
        <f>5-(4*($G$59-$G$58)/($G$57-$G$58))</f>
        <v>5</v>
      </c>
      <c r="I224">
        <v>5</v>
      </c>
      <c r="J224" s="31">
        <f t="shared" si="105"/>
        <v>3</v>
      </c>
      <c r="K224" s="31">
        <f t="shared" si="110"/>
        <v>3.1818181818181817</v>
      </c>
      <c r="L224" s="31">
        <f t="shared" si="111"/>
        <v>2.6666666666666665</v>
      </c>
    </row>
    <row r="225" spans="1:12" x14ac:dyDescent="0.3">
      <c r="A225" t="s">
        <v>76</v>
      </c>
      <c r="B225" s="32">
        <f>4*($H$60-$H$64)/($H$60-$H$64)+1</f>
        <v>5</v>
      </c>
      <c r="C225" s="32">
        <f t="shared" si="106"/>
        <v>4.92619926199262</v>
      </c>
      <c r="D225" s="32">
        <f t="shared" si="107"/>
        <v>1</v>
      </c>
      <c r="E225" s="32">
        <f t="shared" si="108"/>
        <v>5</v>
      </c>
      <c r="F225" s="32">
        <f t="shared" si="109"/>
        <v>4.054117647058824</v>
      </c>
      <c r="G225" s="32">
        <f>5-(4*($F$60-MIN($F$57:$F$65))/(MAX($F$57:$F$65)-MIN($F$57:$F$65)))</f>
        <v>4.5999999999999996</v>
      </c>
      <c r="H225" s="32">
        <f>5-(4*($G$60-$G$58)/($G$57-$G$58))</f>
        <v>5</v>
      </c>
      <c r="I225">
        <v>5</v>
      </c>
      <c r="J225" s="31">
        <f t="shared" si="105"/>
        <v>4.3225396136314309</v>
      </c>
      <c r="K225" s="31">
        <f t="shared" si="110"/>
        <v>4.4642287428221872</v>
      </c>
      <c r="L225" s="31">
        <f t="shared" si="111"/>
        <v>4.1362028796758556</v>
      </c>
    </row>
    <row r="226" spans="1:12" x14ac:dyDescent="0.3">
      <c r="A226" t="s">
        <v>77</v>
      </c>
      <c r="B226" s="32">
        <f>4*($H$61-$H$64)/($H$60-$H$64)+1</f>
        <v>5</v>
      </c>
      <c r="C226" s="32">
        <f t="shared" si="106"/>
        <v>1</v>
      </c>
      <c r="D226" s="32">
        <f t="shared" si="107"/>
        <v>5</v>
      </c>
      <c r="E226" s="32">
        <f t="shared" si="108"/>
        <v>5</v>
      </c>
      <c r="F226" s="32">
        <f t="shared" si="109"/>
        <v>5</v>
      </c>
      <c r="G226" s="32">
        <f>5-(4*($F$61-MIN($F$57:$F$65))/(MAX($F$57:$F$65)-MIN($F$57:$F$65)))</f>
        <v>5</v>
      </c>
      <c r="H226" s="32">
        <f>5-(4*($G$61-$G$58)/($G$57-$G$58))</f>
        <v>5</v>
      </c>
      <c r="I226">
        <v>1</v>
      </c>
      <c r="J226" s="31">
        <f t="shared" si="105"/>
        <v>4</v>
      </c>
      <c r="K226" s="31">
        <f t="shared" si="110"/>
        <v>3.9090909090909092</v>
      </c>
      <c r="L226" s="31">
        <f t="shared" si="111"/>
        <v>4.333333333333333</v>
      </c>
    </row>
    <row r="227" spans="1:12" x14ac:dyDescent="0.3">
      <c r="A227" t="s">
        <v>78</v>
      </c>
      <c r="B227" s="32">
        <f>4*($H$62-$H$64)/($H$60-$H$64)+1</f>
        <v>1</v>
      </c>
      <c r="C227" s="32">
        <v>0</v>
      </c>
      <c r="D227" s="32">
        <f t="shared" si="107"/>
        <v>5</v>
      </c>
      <c r="E227" s="32">
        <f t="shared" si="108"/>
        <v>5</v>
      </c>
      <c r="F227" s="32">
        <f t="shared" si="109"/>
        <v>5</v>
      </c>
      <c r="G227" s="32">
        <f>5-(4*($F$62-MIN($F$57:$F$65))/(MAX($F$57:$F$65)-MIN($F$57:$F$65)))</f>
        <v>1</v>
      </c>
      <c r="H227" s="32">
        <f>5-(4*($G$62-$G$58)/($G$57-$G$58))</f>
        <v>5</v>
      </c>
      <c r="I227">
        <v>3</v>
      </c>
      <c r="J227" s="31">
        <f t="shared" si="105"/>
        <v>3.125</v>
      </c>
      <c r="K227" s="31">
        <f t="shared" si="110"/>
        <v>2.4545454545454546</v>
      </c>
      <c r="L227" s="31">
        <f t="shared" si="111"/>
        <v>3.75</v>
      </c>
    </row>
    <row r="228" spans="1:12" x14ac:dyDescent="0.3">
      <c r="A228" t="s">
        <v>79</v>
      </c>
      <c r="B228" s="32">
        <f>4*($H$63-$H$64)/($H$60-$H$64)+1</f>
        <v>3.6666666666666665</v>
      </c>
      <c r="C228" s="32">
        <f t="shared" si="106"/>
        <v>1.0738007380073813</v>
      </c>
      <c r="D228" s="32">
        <f t="shared" si="107"/>
        <v>1</v>
      </c>
      <c r="E228" s="32">
        <f t="shared" si="108"/>
        <v>5</v>
      </c>
      <c r="F228" s="32">
        <f t="shared" si="109"/>
        <v>2.5764705882352947</v>
      </c>
      <c r="G228" s="32">
        <f>5-(4*($F$63-MIN($F$57:$F$65))/(MAX($F$57:$F$65)-MIN($F$57:$F$65)))</f>
        <v>5</v>
      </c>
      <c r="H228" s="32">
        <f>5-(4*($G$63-$G$58)/($G$57-$G$58))</f>
        <v>5</v>
      </c>
      <c r="I228">
        <v>5</v>
      </c>
      <c r="J228" s="31">
        <f t="shared" si="105"/>
        <v>3.5396172491136677</v>
      </c>
      <c r="K228" s="31">
        <f t="shared" si="110"/>
        <v>3.4597641270530359</v>
      </c>
      <c r="L228" s="31">
        <f t="shared" si="111"/>
        <v>3.4911173817620536</v>
      </c>
    </row>
    <row r="229" spans="1:12" x14ac:dyDescent="0.3">
      <c r="A229" t="s">
        <v>80</v>
      </c>
      <c r="B229" s="32">
        <f>4*($H$64-$H$64)/($H$60-$H$64)+1</f>
        <v>1</v>
      </c>
      <c r="C229" s="32">
        <f t="shared" si="106"/>
        <v>1</v>
      </c>
      <c r="D229" s="32">
        <f t="shared" si="107"/>
        <v>5</v>
      </c>
      <c r="E229" s="32">
        <f t="shared" si="108"/>
        <v>5</v>
      </c>
      <c r="F229" s="32">
        <f t="shared" si="109"/>
        <v>5</v>
      </c>
      <c r="G229" s="32">
        <f>5-(4*($F$64-MIN($F$57:$F$65))/(MAX($F$57:$F$65)-MIN($F$57:$F$65)))</f>
        <v>5</v>
      </c>
      <c r="H229" s="32">
        <f>5-(4*($G$64-$G$58)/($G$57-$G$58))</f>
        <v>5</v>
      </c>
      <c r="I229">
        <v>5</v>
      </c>
      <c r="J229" s="31">
        <f t="shared" si="105"/>
        <v>4</v>
      </c>
      <c r="K229" s="31">
        <f t="shared" si="110"/>
        <v>3.5454545454545454</v>
      </c>
      <c r="L229" s="31">
        <f t="shared" si="111"/>
        <v>4.333333333333333</v>
      </c>
    </row>
    <row r="230" spans="1:12" x14ac:dyDescent="0.3">
      <c r="A230" t="s">
        <v>81</v>
      </c>
      <c r="B230" s="32">
        <f>4*($H$65-$H$64)/($H$60-$H$64)+1</f>
        <v>5</v>
      </c>
      <c r="C230" s="32">
        <f t="shared" si="106"/>
        <v>5</v>
      </c>
      <c r="D230" s="32">
        <f t="shared" si="107"/>
        <v>1</v>
      </c>
      <c r="E230" s="32">
        <f t="shared" si="108"/>
        <v>5</v>
      </c>
      <c r="F230" s="32">
        <f t="shared" si="109"/>
        <v>4.0729411764705885</v>
      </c>
      <c r="G230" s="32">
        <f>5-(4*($F$65-MIN($F$57:$F$65))/(MAX($F$57:$F$65)-MIN($F$57:$F$65)))</f>
        <v>4.8</v>
      </c>
      <c r="H230" s="32">
        <f>5-(4*($G$65-$G$58)/($G$57-$G$58))</f>
        <v>5</v>
      </c>
      <c r="I230">
        <v>5</v>
      </c>
      <c r="J230" s="31">
        <f t="shared" si="105"/>
        <v>4.3591176470588238</v>
      </c>
      <c r="K230" s="31">
        <f t="shared" si="110"/>
        <v>4.5157219251336898</v>
      </c>
      <c r="L230" s="31">
        <f t="shared" si="111"/>
        <v>4.162156862745098</v>
      </c>
    </row>
    <row r="232" spans="1:12" x14ac:dyDescent="0.3">
      <c r="A232" s="1" t="s">
        <v>93</v>
      </c>
      <c r="B232" t="s">
        <v>99</v>
      </c>
      <c r="C232" t="s">
        <v>100</v>
      </c>
      <c r="D232" t="s">
        <v>101</v>
      </c>
      <c r="E232" t="s">
        <v>102</v>
      </c>
      <c r="F232" t="s">
        <v>103</v>
      </c>
      <c r="G232" t="s">
        <v>104</v>
      </c>
      <c r="H232" t="s">
        <v>105</v>
      </c>
      <c r="I232" t="s">
        <v>106</v>
      </c>
      <c r="J232" t="s">
        <v>110</v>
      </c>
      <c r="K232" t="s">
        <v>108</v>
      </c>
      <c r="L232" t="s">
        <v>109</v>
      </c>
    </row>
    <row r="233" spans="1:12" x14ac:dyDescent="0.3">
      <c r="A233" t="s">
        <v>73</v>
      </c>
      <c r="B233" s="32">
        <f>4*($H$57-$H$64)/($H$60-$H$64)+1</f>
        <v>5</v>
      </c>
      <c r="C233" s="32">
        <f>4*(P46-MAX($P$46:$P$54))/(MIN($P$46:$P$54)-MAX($P$46:$P$54))+1</f>
        <v>5</v>
      </c>
      <c r="D233" s="32">
        <f>4*(O46-MIN($O$46:$O$54))/(MAX($O$46:$O$54)-MIN($O$46:$O$54))+1</f>
        <v>5</v>
      </c>
      <c r="E233" s="32">
        <f>4*(Q46-MIN($Q$46:$Q$54))/(MAX($Q$46:$Q$54)-MIN($Q$46:$Q$54))+1</f>
        <v>5</v>
      </c>
      <c r="F233" s="32">
        <f>5-4*(N46-MIN($N$46:$N$54))/(MAX($N$46:$N$54)-MIN($N$46:$N$54))</f>
        <v>4.6705882352941179</v>
      </c>
      <c r="G233" s="32">
        <f>5-(4*($F$57-MIN($F$57:$F$65))/(MAX($F$57:$F$65)-MIN($F$57:$F$65)))</f>
        <v>5</v>
      </c>
      <c r="H233" s="32">
        <f>5-(4*($G$57-$G$58)/($G$57-$G$58))</f>
        <v>1</v>
      </c>
      <c r="I233">
        <v>5</v>
      </c>
      <c r="J233" s="31">
        <f t="shared" ref="J233:J241" si="112">AVERAGE(B233:I233)</f>
        <v>4.4588235294117649</v>
      </c>
      <c r="K233" s="31">
        <f>(2*(B233+C233+G233)+D233+E233+F233+H233+I233)/11</f>
        <v>4.6064171122994653</v>
      </c>
      <c r="L233" s="31">
        <f>(2*(D233+E233+F233+H233)+B233+C233+G233+I233)/12</f>
        <v>4.2784313725490195</v>
      </c>
    </row>
    <row r="234" spans="1:12" x14ac:dyDescent="0.3">
      <c r="A234" s="13" t="s">
        <v>74</v>
      </c>
      <c r="B234" s="32">
        <f>4*($H$58-$H$64)/($H$60-$H$64)+1</f>
        <v>3.2222222222222219</v>
      </c>
      <c r="C234" s="32">
        <f t="shared" ref="C234:C241" si="113">4*(P47-MAX($P$46:$P$54))/(MIN($P$46:$P$54)-MAX($P$46:$P$54))+1</f>
        <v>5</v>
      </c>
      <c r="D234" s="32">
        <f t="shared" ref="D234:D241" si="114">4*(O47-MIN($O$46:$O$54))/(MAX($O$46:$O$54)-MIN($O$46:$O$54))+1</f>
        <v>5</v>
      </c>
      <c r="E234" s="32">
        <f t="shared" ref="E234:E241" si="115">4*(Q47-MIN($Q$46:$Q$54))/(MAX($Q$46:$Q$54)-MIN($Q$46:$Q$54))+1</f>
        <v>5</v>
      </c>
      <c r="F234" s="32">
        <f t="shared" ref="F234:F241" si="116">5-4*(N47-MIN($N$46:$N$54))/(MAX($N$46:$N$54)-MIN($N$46:$N$54))</f>
        <v>5</v>
      </c>
      <c r="G234" s="32">
        <f>5-(4*($F$58-MIN($F$57:$F$65))/(MAX($F$57:$F$65)-MIN($F$57:$F$65)))</f>
        <v>5</v>
      </c>
      <c r="H234" s="32">
        <f>5-(4*($G$58-$G$58)/($G$57-$G$58))</f>
        <v>5</v>
      </c>
      <c r="I234">
        <v>5</v>
      </c>
      <c r="J234" s="31">
        <f t="shared" si="112"/>
        <v>4.7777777777777777</v>
      </c>
      <c r="K234" s="31">
        <f t="shared" ref="K234:K241" si="117">(2*(B234+C234+G234)+D234+E234+F234+H234+I234)/11</f>
        <v>4.6767676767676765</v>
      </c>
      <c r="L234" s="31">
        <f t="shared" ref="L234:L241" si="118">(2*(D234+E234+F234+H234)+B234+C234+G234+I234)/12</f>
        <v>4.8518518518518521</v>
      </c>
    </row>
    <row r="235" spans="1:12" x14ac:dyDescent="0.3">
      <c r="A235" t="s">
        <v>75</v>
      </c>
      <c r="B235" s="32">
        <f>4*($H$59-$H$64)/($H$60-$H$64)+1</f>
        <v>5</v>
      </c>
      <c r="C235" s="32">
        <f t="shared" si="113"/>
        <v>5</v>
      </c>
      <c r="D235" s="32">
        <f t="shared" si="114"/>
        <v>1</v>
      </c>
      <c r="E235" s="32">
        <f t="shared" si="115"/>
        <v>1</v>
      </c>
      <c r="F235" s="32">
        <f t="shared" si="116"/>
        <v>1</v>
      </c>
      <c r="G235" s="32">
        <f>5-(4*($F$59-MIN($F$57:$F$65))/(MAX($F$57:$F$65)-MIN($F$57:$F$65)))</f>
        <v>5</v>
      </c>
      <c r="H235" s="32">
        <f>5-(4*($G$59-$G$58)/($G$57-$G$58))</f>
        <v>5</v>
      </c>
      <c r="I235">
        <v>5</v>
      </c>
      <c r="J235" s="31">
        <f t="shared" si="112"/>
        <v>3.5</v>
      </c>
      <c r="K235" s="31">
        <f t="shared" si="117"/>
        <v>3.9090909090909092</v>
      </c>
      <c r="L235" s="31">
        <f t="shared" si="118"/>
        <v>3</v>
      </c>
    </row>
    <row r="236" spans="1:12" x14ac:dyDescent="0.3">
      <c r="A236" t="s">
        <v>76</v>
      </c>
      <c r="B236" s="32">
        <f>4*($H$60-$H$64)/($H$60-$H$64)+1</f>
        <v>5</v>
      </c>
      <c r="C236" s="32">
        <f t="shared" si="113"/>
        <v>5</v>
      </c>
      <c r="D236" s="32">
        <f t="shared" si="114"/>
        <v>5</v>
      </c>
      <c r="E236" s="32">
        <f t="shared" si="115"/>
        <v>5</v>
      </c>
      <c r="F236" s="32">
        <f t="shared" si="116"/>
        <v>5</v>
      </c>
      <c r="G236" s="32">
        <f>5-(4*($F$60-MIN($F$57:$F$65))/(MAX($F$57:$F$65)-MIN($F$57:$F$65)))</f>
        <v>4.5999999999999996</v>
      </c>
      <c r="H236" s="32">
        <f>5-(4*($G$60-$G$58)/($G$57-$G$58))</f>
        <v>5</v>
      </c>
      <c r="I236">
        <v>5</v>
      </c>
      <c r="J236" s="31">
        <f t="shared" si="112"/>
        <v>4.95</v>
      </c>
      <c r="K236" s="31">
        <f t="shared" si="117"/>
        <v>4.9272727272727277</v>
      </c>
      <c r="L236" s="31">
        <f t="shared" si="118"/>
        <v>4.9666666666666668</v>
      </c>
    </row>
    <row r="237" spans="1:12" x14ac:dyDescent="0.3">
      <c r="A237" t="s">
        <v>77</v>
      </c>
      <c r="B237" s="32">
        <f>4*($H$61-$H$64)/($H$60-$H$64)+1</f>
        <v>5</v>
      </c>
      <c r="C237" s="32">
        <f t="shared" si="113"/>
        <v>5</v>
      </c>
      <c r="D237" s="32">
        <f t="shared" si="114"/>
        <v>5</v>
      </c>
      <c r="E237" s="32">
        <f t="shared" si="115"/>
        <v>5</v>
      </c>
      <c r="F237" s="32">
        <f t="shared" si="116"/>
        <v>5</v>
      </c>
      <c r="G237" s="32">
        <f>5-(4*($F$61-MIN($F$57:$F$65))/(MAX($F$57:$F$65)-MIN($F$57:$F$65)))</f>
        <v>5</v>
      </c>
      <c r="H237" s="32">
        <f>5-(4*($G$61-$G$58)/($G$57-$G$58))</f>
        <v>5</v>
      </c>
      <c r="I237">
        <v>1</v>
      </c>
      <c r="J237" s="31">
        <f t="shared" si="112"/>
        <v>4.5</v>
      </c>
      <c r="K237" s="31">
        <f t="shared" si="117"/>
        <v>4.6363636363636367</v>
      </c>
      <c r="L237" s="31">
        <f t="shared" si="118"/>
        <v>4.666666666666667</v>
      </c>
    </row>
    <row r="238" spans="1:12" x14ac:dyDescent="0.3">
      <c r="A238" t="s">
        <v>78</v>
      </c>
      <c r="B238" s="32">
        <f>4*($H$62-$H$64)/($H$60-$H$64)+1</f>
        <v>1</v>
      </c>
      <c r="C238" s="32">
        <v>0</v>
      </c>
      <c r="D238" s="32">
        <f t="shared" si="114"/>
        <v>5</v>
      </c>
      <c r="E238" s="32">
        <f t="shared" si="115"/>
        <v>5</v>
      </c>
      <c r="F238" s="32">
        <f t="shared" si="116"/>
        <v>5</v>
      </c>
      <c r="G238" s="32">
        <f>5-(4*($F$62-MIN($F$57:$F$65))/(MAX($F$57:$F$65)-MIN($F$57:$F$65)))</f>
        <v>1</v>
      </c>
      <c r="H238" s="32">
        <f>5-(4*($G$62-$G$58)/($G$57-$G$58))</f>
        <v>5</v>
      </c>
      <c r="I238">
        <v>3</v>
      </c>
      <c r="J238" s="31">
        <f t="shared" si="112"/>
        <v>3.125</v>
      </c>
      <c r="K238" s="31">
        <f t="shared" si="117"/>
        <v>2.4545454545454546</v>
      </c>
      <c r="L238" s="31">
        <f t="shared" si="118"/>
        <v>3.75</v>
      </c>
    </row>
    <row r="239" spans="1:12" x14ac:dyDescent="0.3">
      <c r="A239" t="s">
        <v>79</v>
      </c>
      <c r="B239" s="32">
        <f>4*($H$63-$H$64)/($H$60-$H$64)+1</f>
        <v>3.6666666666666665</v>
      </c>
      <c r="C239" s="32">
        <f t="shared" si="113"/>
        <v>1</v>
      </c>
      <c r="D239" s="32">
        <f t="shared" si="114"/>
        <v>1</v>
      </c>
      <c r="E239" s="32">
        <f t="shared" si="115"/>
        <v>5</v>
      </c>
      <c r="F239" s="32">
        <f t="shared" si="116"/>
        <v>1.0000000000000009</v>
      </c>
      <c r="G239" s="32">
        <f>5-(4*($F$63-MIN($F$57:$F$65))/(MAX($F$57:$F$65)-MIN($F$57:$F$65)))</f>
        <v>5</v>
      </c>
      <c r="H239" s="32">
        <f>5-(4*($G$63-$G$58)/($G$57-$G$58))</f>
        <v>5</v>
      </c>
      <c r="I239">
        <v>5</v>
      </c>
      <c r="J239" s="31">
        <f t="shared" si="112"/>
        <v>3.3333333333333335</v>
      </c>
      <c r="K239" s="31">
        <f t="shared" si="117"/>
        <v>3.3030303030303028</v>
      </c>
      <c r="L239" s="31">
        <f t="shared" si="118"/>
        <v>3.2222222222222228</v>
      </c>
    </row>
    <row r="240" spans="1:12" x14ac:dyDescent="0.3">
      <c r="A240" t="s">
        <v>80</v>
      </c>
      <c r="B240" s="32">
        <f>4*($H$64-$H$64)/($H$60-$H$64)+1</f>
        <v>1</v>
      </c>
      <c r="C240" s="32">
        <f t="shared" si="113"/>
        <v>5</v>
      </c>
      <c r="D240" s="32">
        <f t="shared" si="114"/>
        <v>5</v>
      </c>
      <c r="E240" s="32">
        <f t="shared" si="115"/>
        <v>5</v>
      </c>
      <c r="F240" s="32">
        <f t="shared" si="116"/>
        <v>5</v>
      </c>
      <c r="G240" s="32">
        <f>5-(4*($F$64-MIN($F$57:$F$65))/(MAX($F$57:$F$65)-MIN($F$57:$F$65)))</f>
        <v>5</v>
      </c>
      <c r="H240" s="32">
        <f>5-(4*($G$64-$G$58)/($G$57-$G$58))</f>
        <v>5</v>
      </c>
      <c r="I240">
        <v>5</v>
      </c>
      <c r="J240" s="31">
        <f t="shared" si="112"/>
        <v>4.5</v>
      </c>
      <c r="K240" s="31">
        <f t="shared" si="117"/>
        <v>4.2727272727272725</v>
      </c>
      <c r="L240" s="31">
        <f t="shared" si="118"/>
        <v>4.666666666666667</v>
      </c>
    </row>
    <row r="241" spans="1:15" x14ac:dyDescent="0.3">
      <c r="A241" t="s">
        <v>81</v>
      </c>
      <c r="B241" s="32">
        <f>4*($H$65-$H$64)/($H$60-$H$64)+1</f>
        <v>5</v>
      </c>
      <c r="C241" s="32">
        <f t="shared" si="113"/>
        <v>5</v>
      </c>
      <c r="D241" s="32">
        <f t="shared" si="114"/>
        <v>5</v>
      </c>
      <c r="E241" s="32">
        <f t="shared" si="115"/>
        <v>5</v>
      </c>
      <c r="F241" s="32">
        <f t="shared" si="116"/>
        <v>5</v>
      </c>
      <c r="G241" s="32">
        <f>5-(4*($F$65-MIN($F$57:$F$65))/(MAX($F$57:$F$65)-MIN($F$57:$F$65)))</f>
        <v>4.8</v>
      </c>
      <c r="H241" s="32">
        <f>5-(4*($G$65-$G$58)/($G$57-$G$58))</f>
        <v>5</v>
      </c>
      <c r="I241">
        <v>5</v>
      </c>
      <c r="J241" s="31">
        <f t="shared" si="112"/>
        <v>4.9749999999999996</v>
      </c>
      <c r="K241" s="31">
        <f t="shared" si="117"/>
        <v>4.9636363636363638</v>
      </c>
      <c r="L241" s="31">
        <f t="shared" si="118"/>
        <v>4.9833333333333334</v>
      </c>
      <c r="O241" t="s">
        <v>111</v>
      </c>
    </row>
    <row r="242" spans="1:15" x14ac:dyDescent="0.3">
      <c r="O242" t="s">
        <v>112</v>
      </c>
    </row>
    <row r="243" spans="1:15" x14ac:dyDescent="0.3">
      <c r="O243" t="s">
        <v>113</v>
      </c>
    </row>
    <row r="244" spans="1:15" x14ac:dyDescent="0.3">
      <c r="O244" t="s">
        <v>114</v>
      </c>
    </row>
    <row r="245" spans="1:15" x14ac:dyDescent="0.3">
      <c r="O245" t="s">
        <v>115</v>
      </c>
    </row>
    <row r="246" spans="1:15" x14ac:dyDescent="0.3">
      <c r="O246" t="s">
        <v>116</v>
      </c>
    </row>
    <row r="247" spans="1:15" x14ac:dyDescent="0.3">
      <c r="O247" t="s">
        <v>117</v>
      </c>
    </row>
    <row r="248" spans="1:15" x14ac:dyDescent="0.3">
      <c r="O248" t="s">
        <v>118</v>
      </c>
    </row>
    <row r="249" spans="1:15" x14ac:dyDescent="0.3">
      <c r="O249" t="s">
        <v>119</v>
      </c>
    </row>
    <row r="250" spans="1:15" x14ac:dyDescent="0.3">
      <c r="O250" t="s">
        <v>120</v>
      </c>
    </row>
    <row r="251" spans="1:15" x14ac:dyDescent="0.3">
      <c r="O251" t="s">
        <v>121</v>
      </c>
    </row>
    <row r="252" spans="1:15" x14ac:dyDescent="0.3">
      <c r="O252" t="s">
        <v>122</v>
      </c>
    </row>
    <row r="253" spans="1:15" x14ac:dyDescent="0.3">
      <c r="O253" t="s">
        <v>123</v>
      </c>
    </row>
    <row r="254" spans="1:15" x14ac:dyDescent="0.3">
      <c r="O254" t="s">
        <v>124</v>
      </c>
    </row>
    <row r="255" spans="1:15" x14ac:dyDescent="0.3">
      <c r="O255" t="s">
        <v>125</v>
      </c>
    </row>
  </sheetData>
  <conditionalFormatting sqref="B2:B10 H2:H10 N2:N10 B21 H21 N13:N21 B24:B32 H24:H32 N24:N32 B35:B43 H35:H43 N35:N43 B46:B54 H46:H54 N46:N54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B10 I56 H2:H10 N2:N10 B13:B21 B24:B32 H13:H21 H24:H32 N13:N21 N24:N32 B35:B43 B46:B54 H35:H43 H46:H54 N35:N43 N46:N5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B10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B20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B31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2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5:B42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3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6:B53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7:B65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0 I2:I10 O2:O10 C13:C21 I13:I21 O13:O21 C24:C32 I24:I32 O24:O32 C35:C43 I35:I43 O35:O43 C46:C54 I46:I54 O46:O54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0 I2:I10 O2:O10 O13:O21 I13:I21 C13:C21 C24:C32 I24:I32 O24:O32 C35:C43 C46:C54 I35:I43 I46:I54 O35:O43 O46:O54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0">
    <cfRule type="colorScale" priority="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C20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:C31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2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5:C42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6:C53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4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7:C65"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0 J2:J10 P2:P10 D13:D21 J13:J22 P13:P21 D24:D32 J24:J32 P24:P32 D35:D43 J35:J43 P35:P43 D46:D54 J46:J54 P46:P54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10 J2:J10 P2:P10 P13:P21 J13:J21 D13:D21 D24:D32 J24:J32 P24:P32 D35:D43 D46:D54 J35:J43 J46:J54 P46:P5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10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3:D20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4:D31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5:D4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3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:D53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7:D65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10 K2:K10 Q2:Q10 Q13:Q21 K13:K21 E13:E21 E24:E32 K24:K32 Q24:Q32 E35:E43 E46:E54 K35:K43 K46:K54 Q35:Q43 Q46:Q54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0 S8 K2:K10 Q2:Q10 E13:E21 K13:K21 Q13:Q21 E24:E32 K24:K32 Q24:Q32 E35:E43 K35:K43 Q35:Q43 E46:E54 K46:K54 Q46:Q54 E57:E65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0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:E20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1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4:E31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2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5:E42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6:E53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4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7:E65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10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3:H20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4:H31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5:H42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6:H53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10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:I20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1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4:I31"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2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5:I42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3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6:I53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4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0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3:J20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1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4:J31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5:J42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6:J53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8:J76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9:J87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0:J98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1:J109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2:J120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23:J131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34:J142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5:J153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6:J164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67:J175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78:J186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89:J19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00:J20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11:J21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22:J23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33:J24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0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3:K20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1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4:K31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2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5:K42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3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6:K53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4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8:K76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79:K87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90:K98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01:K109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12:K120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23:K131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34:K142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5:K153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56:K16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67:K175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78:K18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89:K197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00:K20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11:K21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22:K23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33:K2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8:L76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9:L87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0:L98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01:L109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12:L120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23:L131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34:L142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5:L15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56:L164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67:L175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78:L18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89:L19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00:L20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11:L21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22:L23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33:L2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10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3:N20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1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4:N31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5:N42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6:N53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10"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3:O20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1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4:O31"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2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5:O42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3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6:O53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4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0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3:P20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1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4:P31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5:P42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6:P53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Q10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3:Q20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1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4:Q31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2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5:Q42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3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6:Q53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4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5F53F-50C7-434F-B244-0FBE0B67BF62}">
  <dimension ref="A1:J145"/>
  <sheetViews>
    <sheetView tabSelected="1" topLeftCell="A15" workbookViewId="0">
      <selection activeCell="L26" sqref="L26"/>
    </sheetView>
  </sheetViews>
  <sheetFormatPr defaultRowHeight="14.4" x14ac:dyDescent="0.3"/>
  <cols>
    <col min="10" max="10" width="18.109375" customWidth="1"/>
  </cols>
  <sheetData>
    <row r="1" spans="1:10" x14ac:dyDescent="0.3">
      <c r="A1" s="1"/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126</v>
      </c>
    </row>
    <row r="2" spans="1:10" x14ac:dyDescent="0.3">
      <c r="A2" t="s">
        <v>73</v>
      </c>
      <c r="B2" s="32">
        <f>Summary!B68</f>
        <v>5</v>
      </c>
      <c r="C2" s="32">
        <f>Summary!C68</f>
        <v>4.7807783955520256</v>
      </c>
      <c r="D2" s="32">
        <f>Summary!D68</f>
        <v>2.333333333333333</v>
      </c>
      <c r="E2" s="32">
        <f>Summary!E68</f>
        <v>4.4444444444444446</v>
      </c>
      <c r="F2" s="32">
        <f>Summary!F68</f>
        <v>3.1274485494668989</v>
      </c>
      <c r="G2" s="32">
        <f>Summary!G68</f>
        <v>5</v>
      </c>
      <c r="H2" s="32">
        <f>Summary!H68</f>
        <v>1</v>
      </c>
      <c r="I2">
        <v>5</v>
      </c>
      <c r="J2" t="s">
        <v>127</v>
      </c>
    </row>
    <row r="3" spans="1:10" x14ac:dyDescent="0.3">
      <c r="A3" s="13" t="s">
        <v>74</v>
      </c>
      <c r="B3" s="32">
        <f>Summary!B69</f>
        <v>3.2222222222222219</v>
      </c>
      <c r="C3" s="32">
        <f>Summary!C69</f>
        <v>4.005559968228753</v>
      </c>
      <c r="D3" s="32">
        <f>Summary!D69</f>
        <v>2.8095238095238106</v>
      </c>
      <c r="E3" s="32">
        <f>Summary!E69</f>
        <v>4</v>
      </c>
      <c r="F3" s="32">
        <f>Summary!F69</f>
        <v>3.7823787089842136</v>
      </c>
      <c r="G3" s="32">
        <f>Summary!G69</f>
        <v>5</v>
      </c>
      <c r="H3" s="32">
        <f>Summary!H69</f>
        <v>5</v>
      </c>
      <c r="I3">
        <v>5</v>
      </c>
      <c r="J3" t="s">
        <v>127</v>
      </c>
    </row>
    <row r="4" spans="1:10" x14ac:dyDescent="0.3">
      <c r="A4" t="s">
        <v>75</v>
      </c>
      <c r="B4" s="32">
        <f>Summary!B70</f>
        <v>5</v>
      </c>
      <c r="C4" s="32">
        <f>Summary!C70</f>
        <v>4.7701879798782105</v>
      </c>
      <c r="D4" s="32">
        <f>Summary!D70</f>
        <v>1</v>
      </c>
      <c r="E4" s="32">
        <f>Summary!E70</f>
        <v>1</v>
      </c>
      <c r="F4" s="32">
        <f>Summary!F70</f>
        <v>1</v>
      </c>
      <c r="G4" s="32">
        <f>Summary!G70</f>
        <v>5</v>
      </c>
      <c r="H4" s="32">
        <f>Summary!H70</f>
        <v>5</v>
      </c>
      <c r="I4">
        <v>5</v>
      </c>
      <c r="J4" t="s">
        <v>127</v>
      </c>
    </row>
    <row r="5" spans="1:10" x14ac:dyDescent="0.3">
      <c r="A5" t="s">
        <v>76</v>
      </c>
      <c r="B5" s="32">
        <f>Summary!B71</f>
        <v>5</v>
      </c>
      <c r="C5" s="32">
        <f>Summary!C71</f>
        <v>5</v>
      </c>
      <c r="D5" s="32">
        <f>Summary!D71</f>
        <v>2.6190476190476191</v>
      </c>
      <c r="E5" s="32">
        <f>Summary!E71</f>
        <v>4</v>
      </c>
      <c r="F5" s="32">
        <f>Summary!F71</f>
        <v>3.8660219852880404</v>
      </c>
      <c r="G5" s="32">
        <f>Summary!G71</f>
        <v>4.5999999999999996</v>
      </c>
      <c r="H5" s="32">
        <f>Summary!H71</f>
        <v>5</v>
      </c>
      <c r="I5">
        <v>5</v>
      </c>
      <c r="J5" t="s">
        <v>127</v>
      </c>
    </row>
    <row r="6" spans="1:10" x14ac:dyDescent="0.3">
      <c r="A6" t="s">
        <v>77</v>
      </c>
      <c r="B6" s="32">
        <f>Summary!B72</f>
        <v>5</v>
      </c>
      <c r="C6" s="32">
        <f>Summary!C72</f>
        <v>4.751654752449034</v>
      </c>
      <c r="D6" s="32">
        <f>Summary!D72</f>
        <v>2.1428571428571432</v>
      </c>
      <c r="E6" s="32">
        <f>Summary!E72</f>
        <v>3.4444444444444451</v>
      </c>
      <c r="F6" s="32">
        <f>Summary!F72</f>
        <v>3.258699066038516</v>
      </c>
      <c r="G6" s="32">
        <f>Summary!G72</f>
        <v>5</v>
      </c>
      <c r="H6" s="32">
        <f>Summary!H72</f>
        <v>5</v>
      </c>
      <c r="I6">
        <v>1</v>
      </c>
      <c r="J6" t="s">
        <v>127</v>
      </c>
    </row>
    <row r="7" spans="1:10" x14ac:dyDescent="0.3">
      <c r="A7" t="s">
        <v>78</v>
      </c>
      <c r="B7" s="32">
        <f>Summary!B73</f>
        <v>1</v>
      </c>
      <c r="C7" s="32">
        <f>Summary!C73</f>
        <v>0</v>
      </c>
      <c r="D7" s="32">
        <f>Summary!D73</f>
        <v>3.9523809523809534</v>
      </c>
      <c r="E7" s="32">
        <f>Summary!E73</f>
        <v>4.1111111111111107</v>
      </c>
      <c r="F7" s="32">
        <f>Summary!F73</f>
        <v>3.9113149847094797</v>
      </c>
      <c r="G7" s="32">
        <f>Summary!G73</f>
        <v>1</v>
      </c>
      <c r="H7" s="32">
        <f>Summary!H73</f>
        <v>5</v>
      </c>
      <c r="I7">
        <v>3</v>
      </c>
      <c r="J7" t="s">
        <v>127</v>
      </c>
    </row>
    <row r="8" spans="1:10" x14ac:dyDescent="0.3">
      <c r="A8" t="s">
        <v>79</v>
      </c>
      <c r="B8" s="32">
        <f>Summary!B74</f>
        <v>3.6666666666666665</v>
      </c>
      <c r="C8" s="32">
        <f>Summary!C74</f>
        <v>4.6049774953666933</v>
      </c>
      <c r="D8" s="32">
        <f>Summary!D74</f>
        <v>1.5714285714285712</v>
      </c>
      <c r="E8" s="32">
        <f>Summary!E74</f>
        <v>3.6666666666666665</v>
      </c>
      <c r="F8" s="32">
        <f>Summary!F74</f>
        <v>1.4314406149268546</v>
      </c>
      <c r="G8" s="32">
        <f>Summary!G74</f>
        <v>5</v>
      </c>
      <c r="H8" s="32">
        <f>Summary!H74</f>
        <v>5</v>
      </c>
      <c r="I8">
        <v>5</v>
      </c>
      <c r="J8" t="s">
        <v>127</v>
      </c>
    </row>
    <row r="9" spans="1:10" x14ac:dyDescent="0.3">
      <c r="A9" t="s">
        <v>80</v>
      </c>
      <c r="B9" s="32">
        <f>Summary!B75</f>
        <v>1</v>
      </c>
      <c r="C9" s="32">
        <f>Summary!C75</f>
        <v>1</v>
      </c>
      <c r="D9" s="32">
        <f>Summary!D75</f>
        <v>5</v>
      </c>
      <c r="E9" s="32">
        <f>Summary!E75</f>
        <v>5</v>
      </c>
      <c r="F9" s="32">
        <f>Summary!F75</f>
        <v>5</v>
      </c>
      <c r="G9" s="32">
        <f>Summary!G75</f>
        <v>5</v>
      </c>
      <c r="H9" s="32">
        <f>Summary!H75</f>
        <v>5</v>
      </c>
      <c r="I9">
        <v>5</v>
      </c>
      <c r="J9" t="s">
        <v>127</v>
      </c>
    </row>
    <row r="10" spans="1:10" x14ac:dyDescent="0.3">
      <c r="A10" t="s">
        <v>81</v>
      </c>
      <c r="B10" s="32">
        <f>Summary!B76</f>
        <v>5</v>
      </c>
      <c r="C10" s="32">
        <f>Summary!C76</f>
        <v>4.8845644691554142</v>
      </c>
      <c r="D10" s="32">
        <f>Summary!D76</f>
        <v>1.9523809523809528</v>
      </c>
      <c r="E10" s="32">
        <f>Summary!E76</f>
        <v>3.6666666666666665</v>
      </c>
      <c r="F10" s="32">
        <f>Summary!F76</f>
        <v>3.2669642119183413</v>
      </c>
      <c r="G10" s="32">
        <f>Summary!G76</f>
        <v>4.8</v>
      </c>
      <c r="H10" s="32">
        <f>Summary!H76</f>
        <v>5</v>
      </c>
      <c r="I10">
        <v>5</v>
      </c>
      <c r="J10" t="s">
        <v>127</v>
      </c>
    </row>
    <row r="11" spans="1:10" x14ac:dyDescent="0.3">
      <c r="A11" t="s">
        <v>73</v>
      </c>
      <c r="B11" s="32">
        <f>Summary!B79</f>
        <v>5</v>
      </c>
      <c r="C11" s="32">
        <f>Summary!C79</f>
        <v>5</v>
      </c>
      <c r="D11" s="32">
        <f>Summary!D79</f>
        <v>3.666666666666667</v>
      </c>
      <c r="E11" s="32">
        <f>Summary!E79</f>
        <v>3.666666666666667</v>
      </c>
      <c r="F11" s="32">
        <f>Summary!F79</f>
        <v>3.2791293213828423</v>
      </c>
      <c r="G11" s="32">
        <f>Summary!G79</f>
        <v>5</v>
      </c>
      <c r="H11" s="32">
        <f>Summary!H79</f>
        <v>1</v>
      </c>
      <c r="I11" s="32">
        <f>Summary!I79</f>
        <v>5</v>
      </c>
      <c r="J11" t="s">
        <v>128</v>
      </c>
    </row>
    <row r="12" spans="1:10" x14ac:dyDescent="0.3">
      <c r="A12" s="13" t="s">
        <v>74</v>
      </c>
      <c r="B12" s="32">
        <f>Summary!B80</f>
        <v>3.2222222222222219</v>
      </c>
      <c r="C12" s="32">
        <f>Summary!C80</f>
        <v>5</v>
      </c>
      <c r="D12" s="32">
        <f>Summary!D80</f>
        <v>2.333333333333333</v>
      </c>
      <c r="E12" s="32">
        <f>Summary!E80</f>
        <v>1</v>
      </c>
      <c r="F12" s="32">
        <f>Summary!F80</f>
        <v>2.7874519846350831</v>
      </c>
      <c r="G12" s="32">
        <f>Summary!G80</f>
        <v>5</v>
      </c>
      <c r="H12" s="32">
        <f>Summary!H80</f>
        <v>5</v>
      </c>
      <c r="I12" s="32">
        <f>Summary!I80</f>
        <v>5</v>
      </c>
      <c r="J12" t="s">
        <v>128</v>
      </c>
    </row>
    <row r="13" spans="1:10" x14ac:dyDescent="0.3">
      <c r="A13" t="s">
        <v>75</v>
      </c>
      <c r="B13" s="32">
        <f>Summary!B81</f>
        <v>5</v>
      </c>
      <c r="C13" s="32">
        <f>Summary!C81</f>
        <v>5</v>
      </c>
      <c r="D13" s="32">
        <f>Summary!D81</f>
        <v>3.666666666666667</v>
      </c>
      <c r="E13" s="32">
        <f>Summary!E81</f>
        <v>1</v>
      </c>
      <c r="F13" s="32">
        <f>Summary!F81</f>
        <v>4.3751600512163886</v>
      </c>
      <c r="G13" s="32">
        <f>Summary!G81</f>
        <v>5</v>
      </c>
      <c r="H13" s="32">
        <f>Summary!H81</f>
        <v>5</v>
      </c>
      <c r="I13" s="32">
        <f>Summary!I81</f>
        <v>5</v>
      </c>
      <c r="J13" t="s">
        <v>128</v>
      </c>
    </row>
    <row r="14" spans="1:10" x14ac:dyDescent="0.3">
      <c r="A14" t="s">
        <v>76</v>
      </c>
      <c r="B14" s="32">
        <f>Summary!B82</f>
        <v>5</v>
      </c>
      <c r="C14" s="32">
        <f>Summary!C82</f>
        <v>5</v>
      </c>
      <c r="D14" s="32">
        <f>Summary!D82</f>
        <v>5</v>
      </c>
      <c r="E14" s="32">
        <f>Summary!E82</f>
        <v>3.666666666666667</v>
      </c>
      <c r="F14" s="32">
        <f>Summary!F82</f>
        <v>5</v>
      </c>
      <c r="G14" s="32">
        <f>Summary!G82</f>
        <v>4.5999999999999996</v>
      </c>
      <c r="H14" s="32">
        <f>Summary!H82</f>
        <v>5</v>
      </c>
      <c r="I14" s="32">
        <f>Summary!I82</f>
        <v>5</v>
      </c>
      <c r="J14" t="s">
        <v>128</v>
      </c>
    </row>
    <row r="15" spans="1:10" x14ac:dyDescent="0.3">
      <c r="A15" t="s">
        <v>77</v>
      </c>
      <c r="B15" s="32">
        <f>Summary!B83</f>
        <v>5</v>
      </c>
      <c r="C15" s="32">
        <f>Summary!C83</f>
        <v>5</v>
      </c>
      <c r="D15" s="32">
        <f>Summary!D83</f>
        <v>3.666666666666667</v>
      </c>
      <c r="E15" s="32">
        <f>Summary!E83</f>
        <v>2.333333333333333</v>
      </c>
      <c r="F15" s="32">
        <f>Summary!F83</f>
        <v>4.4007682458386679</v>
      </c>
      <c r="G15" s="32">
        <f>Summary!G83</f>
        <v>5</v>
      </c>
      <c r="H15" s="32">
        <f>Summary!H83</f>
        <v>5</v>
      </c>
      <c r="I15" s="32">
        <f>Summary!I83</f>
        <v>1</v>
      </c>
      <c r="J15" t="s">
        <v>128</v>
      </c>
    </row>
    <row r="16" spans="1:10" x14ac:dyDescent="0.3">
      <c r="A16" t="s">
        <v>78</v>
      </c>
      <c r="B16" s="32">
        <f>Summary!B84</f>
        <v>1</v>
      </c>
      <c r="C16" s="32">
        <f>Summary!C84</f>
        <v>0</v>
      </c>
      <c r="D16" s="32">
        <f>Summary!D84</f>
        <v>5</v>
      </c>
      <c r="E16" s="32">
        <f>Summary!E84</f>
        <v>2.333333333333333</v>
      </c>
      <c r="F16" s="32">
        <f>Summary!F84</f>
        <v>4.2727272727272725</v>
      </c>
      <c r="G16" s="32">
        <f>Summary!G84</f>
        <v>1</v>
      </c>
      <c r="H16" s="32">
        <f>Summary!H84</f>
        <v>5</v>
      </c>
      <c r="I16" s="32">
        <f>Summary!I84</f>
        <v>3</v>
      </c>
      <c r="J16" t="s">
        <v>128</v>
      </c>
    </row>
    <row r="17" spans="1:10" x14ac:dyDescent="0.3">
      <c r="A17" t="s">
        <v>79</v>
      </c>
      <c r="B17" s="32">
        <f>Summary!B85</f>
        <v>3.6666666666666665</v>
      </c>
      <c r="C17" s="32">
        <f>Summary!C85</f>
        <v>5</v>
      </c>
      <c r="D17" s="32">
        <f>Summary!D85</f>
        <v>1</v>
      </c>
      <c r="E17" s="32">
        <f>Summary!E85</f>
        <v>1</v>
      </c>
      <c r="F17" s="32">
        <f>Summary!F85</f>
        <v>1</v>
      </c>
      <c r="G17" s="32">
        <f>Summary!G85</f>
        <v>5</v>
      </c>
      <c r="H17" s="32">
        <f>Summary!H85</f>
        <v>5</v>
      </c>
      <c r="I17" s="32">
        <f>Summary!I85</f>
        <v>5</v>
      </c>
      <c r="J17" t="s">
        <v>128</v>
      </c>
    </row>
    <row r="18" spans="1:10" x14ac:dyDescent="0.3">
      <c r="A18" t="s">
        <v>80</v>
      </c>
      <c r="B18" s="32">
        <f>Summary!B86</f>
        <v>1</v>
      </c>
      <c r="C18" s="32">
        <f>Summary!C86</f>
        <v>1</v>
      </c>
      <c r="D18" s="32">
        <f>Summary!D86</f>
        <v>5</v>
      </c>
      <c r="E18" s="32">
        <f>Summary!E86</f>
        <v>5</v>
      </c>
      <c r="F18" s="32">
        <f>Summary!F86</f>
        <v>4.5032010243277849</v>
      </c>
      <c r="G18" s="32">
        <f>Summary!G86</f>
        <v>5</v>
      </c>
      <c r="H18" s="32">
        <f>Summary!H86</f>
        <v>5</v>
      </c>
      <c r="I18" s="32">
        <f>Summary!I86</f>
        <v>5</v>
      </c>
      <c r="J18" t="s">
        <v>128</v>
      </c>
    </row>
    <row r="19" spans="1:10" x14ac:dyDescent="0.3">
      <c r="A19" t="s">
        <v>81</v>
      </c>
      <c r="B19" s="32">
        <f>Summary!B87</f>
        <v>5</v>
      </c>
      <c r="C19" s="32">
        <f>Summary!C87</f>
        <v>5</v>
      </c>
      <c r="D19" s="32">
        <f>Summary!D87</f>
        <v>3.666666666666667</v>
      </c>
      <c r="E19" s="32">
        <f>Summary!E87</f>
        <v>1</v>
      </c>
      <c r="F19" s="32">
        <f>Summary!F87</f>
        <v>3.6888604353393086</v>
      </c>
      <c r="G19" s="32">
        <f>Summary!G87</f>
        <v>4.8</v>
      </c>
      <c r="H19" s="32">
        <f>Summary!H87</f>
        <v>5</v>
      </c>
      <c r="I19" s="32">
        <f>Summary!I87</f>
        <v>5</v>
      </c>
      <c r="J19" t="s">
        <v>128</v>
      </c>
    </row>
    <row r="20" spans="1:10" x14ac:dyDescent="0.3">
      <c r="A20" t="s">
        <v>73</v>
      </c>
      <c r="B20" s="32">
        <f>Summary!B90</f>
        <v>5</v>
      </c>
      <c r="C20" s="32">
        <f>Summary!C90</f>
        <v>5</v>
      </c>
      <c r="D20" s="32">
        <f>Summary!D90</f>
        <v>3.9999999999999996</v>
      </c>
      <c r="E20" s="32">
        <f>Summary!E90</f>
        <v>3.666666666666667</v>
      </c>
      <c r="F20" s="32">
        <f>Summary!F90</f>
        <v>3.6305818673883632</v>
      </c>
      <c r="G20" s="32">
        <f>Summary!G90</f>
        <v>5</v>
      </c>
      <c r="H20" s="32">
        <f>Summary!H90</f>
        <v>1</v>
      </c>
      <c r="I20" s="32">
        <f>Summary!I90</f>
        <v>5</v>
      </c>
      <c r="J20" t="s">
        <v>142</v>
      </c>
    </row>
    <row r="21" spans="1:10" x14ac:dyDescent="0.3">
      <c r="A21" s="13" t="s">
        <v>74</v>
      </c>
      <c r="B21" s="32">
        <f>Summary!B91</f>
        <v>3.2222222222222219</v>
      </c>
      <c r="C21" s="32">
        <f>Summary!C91</f>
        <v>5</v>
      </c>
      <c r="D21" s="32">
        <f>Summary!D91</f>
        <v>1</v>
      </c>
      <c r="E21" s="32">
        <f>Summary!E91</f>
        <v>1</v>
      </c>
      <c r="F21" s="32">
        <f>Summary!F91</f>
        <v>2.4939106901217869</v>
      </c>
      <c r="G21" s="32">
        <f>Summary!G91</f>
        <v>5</v>
      </c>
      <c r="H21" s="32">
        <f>Summary!H91</f>
        <v>5</v>
      </c>
      <c r="I21" s="32">
        <f>Summary!I91</f>
        <v>5</v>
      </c>
      <c r="J21" t="s">
        <v>142</v>
      </c>
    </row>
    <row r="22" spans="1:10" x14ac:dyDescent="0.3">
      <c r="A22" t="s">
        <v>75</v>
      </c>
      <c r="B22" s="32">
        <f>Summary!B92</f>
        <v>5</v>
      </c>
      <c r="C22" s="32">
        <f>Summary!C92</f>
        <v>5</v>
      </c>
      <c r="D22" s="32">
        <f>Summary!D92</f>
        <v>3.9999999999999996</v>
      </c>
      <c r="E22" s="32">
        <f>Summary!E92</f>
        <v>1</v>
      </c>
      <c r="F22" s="32">
        <f>Summary!F92</f>
        <v>3.8254397834912042</v>
      </c>
      <c r="G22" s="32">
        <f>Summary!G92</f>
        <v>5</v>
      </c>
      <c r="H22" s="32">
        <f>Summary!H92</f>
        <v>5</v>
      </c>
      <c r="I22" s="32">
        <f>Summary!I92</f>
        <v>5</v>
      </c>
      <c r="J22" t="s">
        <v>142</v>
      </c>
    </row>
    <row r="23" spans="1:10" x14ac:dyDescent="0.3">
      <c r="A23" t="s">
        <v>76</v>
      </c>
      <c r="B23" s="32">
        <f>Summary!B93</f>
        <v>5</v>
      </c>
      <c r="C23" s="32">
        <f>Summary!C93</f>
        <v>5</v>
      </c>
      <c r="D23" s="32">
        <f>Summary!D93</f>
        <v>5</v>
      </c>
      <c r="E23" s="32">
        <f>Summary!E93</f>
        <v>3.666666666666667</v>
      </c>
      <c r="F23" s="32">
        <f>Summary!F93</f>
        <v>5</v>
      </c>
      <c r="G23" s="32">
        <f>Summary!G93</f>
        <v>4.5999999999999996</v>
      </c>
      <c r="H23" s="32">
        <f>Summary!H93</f>
        <v>5</v>
      </c>
      <c r="I23" s="32">
        <f>Summary!I93</f>
        <v>5</v>
      </c>
      <c r="J23" t="s">
        <v>142</v>
      </c>
    </row>
    <row r="24" spans="1:10" x14ac:dyDescent="0.3">
      <c r="A24" t="s">
        <v>77</v>
      </c>
      <c r="B24" s="32">
        <f>Summary!B94</f>
        <v>5</v>
      </c>
      <c r="C24" s="32">
        <f>Summary!C94</f>
        <v>5</v>
      </c>
      <c r="D24" s="32">
        <f>Summary!D94</f>
        <v>3.9999999999999996</v>
      </c>
      <c r="E24" s="32">
        <f>Summary!E94</f>
        <v>2.333333333333333</v>
      </c>
      <c r="F24" s="32">
        <f>Summary!F94</f>
        <v>3.8308525033829506</v>
      </c>
      <c r="G24" s="32">
        <f>Summary!G94</f>
        <v>5</v>
      </c>
      <c r="H24" s="32">
        <f>Summary!H94</f>
        <v>5</v>
      </c>
      <c r="I24" s="32">
        <f>Summary!I94</f>
        <v>1</v>
      </c>
      <c r="J24" t="s">
        <v>142</v>
      </c>
    </row>
    <row r="25" spans="1:10" x14ac:dyDescent="0.3">
      <c r="A25" t="s">
        <v>78</v>
      </c>
      <c r="B25" s="32">
        <f>Summary!B95</f>
        <v>1</v>
      </c>
      <c r="C25" s="32">
        <f>Summary!C95</f>
        <v>0</v>
      </c>
      <c r="D25" s="32">
        <f>Summary!D95</f>
        <v>5</v>
      </c>
      <c r="E25" s="32">
        <f>Summary!E95</f>
        <v>2.333333333333333</v>
      </c>
      <c r="F25" s="32">
        <f>Summary!F95</f>
        <v>4.4046008119079838</v>
      </c>
      <c r="G25" s="32">
        <f>Summary!G95</f>
        <v>1</v>
      </c>
      <c r="H25" s="32">
        <f>Summary!H95</f>
        <v>5</v>
      </c>
      <c r="I25" s="32">
        <f>Summary!I95</f>
        <v>3</v>
      </c>
      <c r="J25" t="s">
        <v>142</v>
      </c>
    </row>
    <row r="26" spans="1:10" x14ac:dyDescent="0.3">
      <c r="A26" t="s">
        <v>79</v>
      </c>
      <c r="B26" s="32">
        <f>Summary!B96</f>
        <v>3.6666666666666665</v>
      </c>
      <c r="C26" s="32">
        <f>Summary!C96</f>
        <v>5</v>
      </c>
      <c r="D26" s="32">
        <f>Summary!D96</f>
        <v>2.9999999999999996</v>
      </c>
      <c r="E26" s="32">
        <f>Summary!E96</f>
        <v>1</v>
      </c>
      <c r="F26" s="32">
        <f>Summary!F96</f>
        <v>1</v>
      </c>
      <c r="G26" s="32">
        <f>Summary!G96</f>
        <v>5</v>
      </c>
      <c r="H26" s="32">
        <f>Summary!H96</f>
        <v>5</v>
      </c>
      <c r="I26" s="32">
        <f>Summary!I96</f>
        <v>5</v>
      </c>
      <c r="J26" t="s">
        <v>142</v>
      </c>
    </row>
    <row r="27" spans="1:10" x14ac:dyDescent="0.3">
      <c r="A27" t="s">
        <v>80</v>
      </c>
      <c r="B27" s="32">
        <f>Summary!B97</f>
        <v>1</v>
      </c>
      <c r="C27" s="32">
        <f>Summary!C97</f>
        <v>1</v>
      </c>
      <c r="D27" s="32">
        <f>Summary!D97</f>
        <v>5</v>
      </c>
      <c r="E27" s="32">
        <f>Summary!E97</f>
        <v>5</v>
      </c>
      <c r="F27" s="32">
        <f>Summary!F97</f>
        <v>4.9242219215155618</v>
      </c>
      <c r="G27" s="32">
        <f>Summary!G97</f>
        <v>5</v>
      </c>
      <c r="H27" s="32">
        <f>Summary!H97</f>
        <v>5</v>
      </c>
      <c r="I27" s="32">
        <f>Summary!I97</f>
        <v>5</v>
      </c>
      <c r="J27" t="s">
        <v>142</v>
      </c>
    </row>
    <row r="28" spans="1:10" x14ac:dyDescent="0.3">
      <c r="A28" t="s">
        <v>81</v>
      </c>
      <c r="B28" s="32">
        <f>Summary!B98</f>
        <v>5</v>
      </c>
      <c r="C28" s="32">
        <f>Summary!C98</f>
        <v>5</v>
      </c>
      <c r="D28" s="32">
        <f>Summary!D98</f>
        <v>3.9999999999999996</v>
      </c>
      <c r="E28" s="32">
        <f>Summary!E98</f>
        <v>1</v>
      </c>
      <c r="F28" s="32">
        <f>Summary!F98</f>
        <v>3.6630581867388363</v>
      </c>
      <c r="G28" s="32">
        <f>Summary!G98</f>
        <v>4.8</v>
      </c>
      <c r="H28" s="32">
        <f>Summary!H98</f>
        <v>5</v>
      </c>
      <c r="I28" s="32">
        <f>Summary!I98</f>
        <v>5</v>
      </c>
      <c r="J28" t="s">
        <v>142</v>
      </c>
    </row>
    <row r="29" spans="1:10" x14ac:dyDescent="0.3">
      <c r="A29" t="s">
        <v>73</v>
      </c>
      <c r="B29" s="32">
        <f>Summary!B101</f>
        <v>5</v>
      </c>
      <c r="C29" s="32">
        <f>Summary!C101</f>
        <v>5</v>
      </c>
      <c r="D29" s="32">
        <f>Summary!D101</f>
        <v>2</v>
      </c>
      <c r="E29" s="32">
        <f>Summary!E101</f>
        <v>3.666666666666667</v>
      </c>
      <c r="F29" s="32">
        <f>Summary!F101</f>
        <v>3.5402843601895739</v>
      </c>
      <c r="G29" s="32">
        <f>Summary!G101</f>
        <v>5</v>
      </c>
      <c r="H29" s="32">
        <f>Summary!H101</f>
        <v>1</v>
      </c>
      <c r="I29" s="32">
        <f>Summary!I101</f>
        <v>5</v>
      </c>
      <c r="J29" t="s">
        <v>129</v>
      </c>
    </row>
    <row r="30" spans="1:10" x14ac:dyDescent="0.3">
      <c r="A30" s="13" t="s">
        <v>74</v>
      </c>
      <c r="B30" s="32">
        <f>Summary!B102</f>
        <v>3.2222222222222219</v>
      </c>
      <c r="C30" s="32">
        <f>Summary!C102</f>
        <v>4.8894736842105262</v>
      </c>
      <c r="D30" s="32">
        <f>Summary!D102</f>
        <v>1</v>
      </c>
      <c r="E30" s="32">
        <f>Summary!E102</f>
        <v>1</v>
      </c>
      <c r="F30" s="32">
        <f>Summary!F102</f>
        <v>2.2938388625592423</v>
      </c>
      <c r="G30" s="32">
        <f>Summary!G102</f>
        <v>5</v>
      </c>
      <c r="H30" s="32">
        <f>Summary!H102</f>
        <v>5</v>
      </c>
      <c r="I30" s="32">
        <f>Summary!I102</f>
        <v>5</v>
      </c>
      <c r="J30" t="s">
        <v>129</v>
      </c>
    </row>
    <row r="31" spans="1:10" x14ac:dyDescent="0.3">
      <c r="A31" t="s">
        <v>75</v>
      </c>
      <c r="B31" s="32">
        <f>Summary!B103</f>
        <v>5</v>
      </c>
      <c r="C31" s="32">
        <f>Summary!C103</f>
        <v>4.8947368421052628</v>
      </c>
      <c r="D31" s="32">
        <f>Summary!D103</f>
        <v>1</v>
      </c>
      <c r="E31" s="32">
        <f>Summary!E103</f>
        <v>1</v>
      </c>
      <c r="F31" s="32">
        <f>Summary!F103</f>
        <v>3.1374407582938391</v>
      </c>
      <c r="G31" s="32">
        <f>Summary!G103</f>
        <v>5</v>
      </c>
      <c r="H31" s="32">
        <f>Summary!H103</f>
        <v>5</v>
      </c>
      <c r="I31" s="32">
        <f>Summary!I103</f>
        <v>5</v>
      </c>
      <c r="J31" t="s">
        <v>129</v>
      </c>
    </row>
    <row r="32" spans="1:10" x14ac:dyDescent="0.3">
      <c r="A32" t="s">
        <v>76</v>
      </c>
      <c r="B32" s="32">
        <f>Summary!B104</f>
        <v>5</v>
      </c>
      <c r="C32" s="32">
        <f>Summary!C104</f>
        <v>5</v>
      </c>
      <c r="D32" s="32">
        <f>Summary!D104</f>
        <v>2.9999999999999996</v>
      </c>
      <c r="E32" s="32">
        <f>Summary!E104</f>
        <v>2.333333333333333</v>
      </c>
      <c r="F32" s="32">
        <f>Summary!F104</f>
        <v>4.1658767772511851</v>
      </c>
      <c r="G32" s="32">
        <f>Summary!G104</f>
        <v>4.5999999999999996</v>
      </c>
      <c r="H32" s="32">
        <f>Summary!H104</f>
        <v>5</v>
      </c>
      <c r="I32" s="32">
        <f>Summary!I104</f>
        <v>5</v>
      </c>
      <c r="J32" t="s">
        <v>129</v>
      </c>
    </row>
    <row r="33" spans="1:10" x14ac:dyDescent="0.3">
      <c r="A33" t="s">
        <v>77</v>
      </c>
      <c r="B33" s="32">
        <f>Summary!B105</f>
        <v>5</v>
      </c>
      <c r="C33" s="32">
        <f>Summary!C105</f>
        <v>5</v>
      </c>
      <c r="D33" s="32">
        <f>Summary!D105</f>
        <v>1</v>
      </c>
      <c r="E33" s="32">
        <f>Summary!E105</f>
        <v>2.333333333333333</v>
      </c>
      <c r="F33" s="32">
        <f>Summary!F105</f>
        <v>3.1374407582938391</v>
      </c>
      <c r="G33" s="32">
        <f>Summary!G105</f>
        <v>5</v>
      </c>
      <c r="H33" s="32">
        <f>Summary!H105</f>
        <v>5</v>
      </c>
      <c r="I33" s="32">
        <f>Summary!I105</f>
        <v>1</v>
      </c>
      <c r="J33" t="s">
        <v>129</v>
      </c>
    </row>
    <row r="34" spans="1:10" x14ac:dyDescent="0.3">
      <c r="A34" t="s">
        <v>78</v>
      </c>
      <c r="B34" s="32">
        <f>Summary!B106</f>
        <v>1</v>
      </c>
      <c r="C34" s="32">
        <f>Summary!C106</f>
        <v>0</v>
      </c>
      <c r="D34" s="32">
        <f>Summary!D106</f>
        <v>3.9999999999999996</v>
      </c>
      <c r="E34" s="32">
        <f>Summary!E106</f>
        <v>2.333333333333333</v>
      </c>
      <c r="F34" s="32">
        <f>Summary!F106</f>
        <v>4.37914691943128</v>
      </c>
      <c r="G34" s="32">
        <f>Summary!G106</f>
        <v>1</v>
      </c>
      <c r="H34" s="32">
        <f>Summary!H106</f>
        <v>5</v>
      </c>
      <c r="I34" s="32">
        <f>Summary!I106</f>
        <v>3</v>
      </c>
      <c r="J34" t="s">
        <v>129</v>
      </c>
    </row>
    <row r="35" spans="1:10" x14ac:dyDescent="0.3">
      <c r="A35" t="s">
        <v>79</v>
      </c>
      <c r="B35" s="32">
        <f>Summary!B107</f>
        <v>3.6666666666666665</v>
      </c>
      <c r="C35" s="32">
        <f>Summary!C107</f>
        <v>5</v>
      </c>
      <c r="D35" s="32">
        <f>Summary!D107</f>
        <v>1</v>
      </c>
      <c r="E35" s="32">
        <f>Summary!E107</f>
        <v>1</v>
      </c>
      <c r="F35" s="32">
        <f>Summary!F107</f>
        <v>1</v>
      </c>
      <c r="G35" s="32">
        <f>Summary!G107</f>
        <v>5</v>
      </c>
      <c r="H35" s="32">
        <f>Summary!H107</f>
        <v>5</v>
      </c>
      <c r="I35" s="32">
        <f>Summary!I107</f>
        <v>5</v>
      </c>
      <c r="J35" t="s">
        <v>129</v>
      </c>
    </row>
    <row r="36" spans="1:10" x14ac:dyDescent="0.3">
      <c r="A36" t="s">
        <v>80</v>
      </c>
      <c r="B36" s="32">
        <f>Summary!B108</f>
        <v>1</v>
      </c>
      <c r="C36" s="32">
        <f>Summary!C108</f>
        <v>1</v>
      </c>
      <c r="D36" s="32">
        <f>Summary!D108</f>
        <v>5</v>
      </c>
      <c r="E36" s="32">
        <f>Summary!E108</f>
        <v>5</v>
      </c>
      <c r="F36" s="32">
        <f>Summary!F108</f>
        <v>5</v>
      </c>
      <c r="G36" s="32">
        <f>Summary!G108</f>
        <v>5</v>
      </c>
      <c r="H36" s="32">
        <f>Summary!H108</f>
        <v>5</v>
      </c>
      <c r="I36" s="32">
        <f>Summary!I108</f>
        <v>5</v>
      </c>
      <c r="J36" t="s">
        <v>129</v>
      </c>
    </row>
    <row r="37" spans="1:10" x14ac:dyDescent="0.3">
      <c r="A37" t="s">
        <v>81</v>
      </c>
      <c r="B37" s="32">
        <f>Summary!B109</f>
        <v>5</v>
      </c>
      <c r="C37" s="32">
        <f>Summary!C109</f>
        <v>5</v>
      </c>
      <c r="D37" s="32">
        <f>Summary!D109</f>
        <v>1</v>
      </c>
      <c r="E37" s="32">
        <f>Summary!E109</f>
        <v>1</v>
      </c>
      <c r="F37" s="32">
        <f>Summary!F109</f>
        <v>3.0094786729857819</v>
      </c>
      <c r="G37" s="32">
        <f>Summary!G109</f>
        <v>4.8</v>
      </c>
      <c r="H37" s="32">
        <f>Summary!H109</f>
        <v>5</v>
      </c>
      <c r="I37" s="32">
        <f>Summary!I109</f>
        <v>5</v>
      </c>
      <c r="J37" t="s">
        <v>129</v>
      </c>
    </row>
    <row r="38" spans="1:10" x14ac:dyDescent="0.3">
      <c r="A38" t="s">
        <v>73</v>
      </c>
      <c r="B38" s="32">
        <f>Summary!B112</f>
        <v>5</v>
      </c>
      <c r="C38" s="32">
        <f>Summary!C112</f>
        <v>4.9631578947368418</v>
      </c>
      <c r="D38" s="32">
        <f>Summary!D112</f>
        <v>2</v>
      </c>
      <c r="E38" s="32">
        <f>Summary!E112</f>
        <v>3.666666666666667</v>
      </c>
      <c r="F38" s="32">
        <f>Summary!F112</f>
        <v>3.1391304347826088</v>
      </c>
      <c r="G38" s="32">
        <f>Summary!G112</f>
        <v>5</v>
      </c>
      <c r="H38" s="32">
        <f>Summary!H112</f>
        <v>1</v>
      </c>
      <c r="I38" s="32">
        <f>Summary!I112</f>
        <v>5</v>
      </c>
      <c r="J38" t="s">
        <v>130</v>
      </c>
    </row>
    <row r="39" spans="1:10" x14ac:dyDescent="0.3">
      <c r="A39" s="13" t="s">
        <v>74</v>
      </c>
      <c r="B39" s="32">
        <f>Summary!B113</f>
        <v>3.2222222222222219</v>
      </c>
      <c r="C39" s="32">
        <f>Summary!C113</f>
        <v>2.7947368421052641</v>
      </c>
      <c r="D39" s="32">
        <f>Summary!D113</f>
        <v>3.9999999999999996</v>
      </c>
      <c r="E39" s="32">
        <f>Summary!E113</f>
        <v>5</v>
      </c>
      <c r="F39" s="32">
        <f>Summary!F113</f>
        <v>4.0956521739130434</v>
      </c>
      <c r="G39" s="32">
        <f>Summary!G113</f>
        <v>5</v>
      </c>
      <c r="H39" s="32">
        <f>Summary!H113</f>
        <v>5</v>
      </c>
      <c r="I39" s="32">
        <f>Summary!I113</f>
        <v>5</v>
      </c>
      <c r="J39" t="s">
        <v>130</v>
      </c>
    </row>
    <row r="40" spans="1:10" x14ac:dyDescent="0.3">
      <c r="A40" t="s">
        <v>75</v>
      </c>
      <c r="B40" s="32">
        <f>Summary!B114</f>
        <v>5</v>
      </c>
      <c r="C40" s="32">
        <f>Summary!C114</f>
        <v>4.9631578947368418</v>
      </c>
      <c r="D40" s="32">
        <f>Summary!D114</f>
        <v>1</v>
      </c>
      <c r="E40" s="32">
        <f>Summary!E114</f>
        <v>1</v>
      </c>
      <c r="F40" s="32">
        <f>Summary!F114</f>
        <v>2.7695652173913046</v>
      </c>
      <c r="G40" s="32">
        <f>Summary!G114</f>
        <v>5</v>
      </c>
      <c r="H40" s="32">
        <f>Summary!H114</f>
        <v>5</v>
      </c>
      <c r="I40" s="32">
        <f>Summary!I114</f>
        <v>5</v>
      </c>
      <c r="J40" t="s">
        <v>130</v>
      </c>
    </row>
    <row r="41" spans="1:10" x14ac:dyDescent="0.3">
      <c r="A41" t="s">
        <v>76</v>
      </c>
      <c r="B41" s="32">
        <f>Summary!B115</f>
        <v>5</v>
      </c>
      <c r="C41" s="32">
        <f>Summary!C115</f>
        <v>5</v>
      </c>
      <c r="D41" s="32">
        <f>Summary!D115</f>
        <v>2.9999999999999996</v>
      </c>
      <c r="E41" s="32">
        <f>Summary!E115</f>
        <v>2.333333333333333</v>
      </c>
      <c r="F41" s="32">
        <f>Summary!F115</f>
        <v>3.5130434782608697</v>
      </c>
      <c r="G41" s="32">
        <f>Summary!G115</f>
        <v>4.5999999999999996</v>
      </c>
      <c r="H41" s="32">
        <f>Summary!H115</f>
        <v>5</v>
      </c>
      <c r="I41" s="32">
        <f>Summary!I115</f>
        <v>5</v>
      </c>
      <c r="J41" t="s">
        <v>130</v>
      </c>
    </row>
    <row r="42" spans="1:10" x14ac:dyDescent="0.3">
      <c r="A42" t="s">
        <v>77</v>
      </c>
      <c r="B42" s="32">
        <f>Summary!B116</f>
        <v>5</v>
      </c>
      <c r="C42" s="32">
        <f>Summary!C116</f>
        <v>4.9631578947368418</v>
      </c>
      <c r="D42" s="32">
        <f>Summary!D116</f>
        <v>1</v>
      </c>
      <c r="E42" s="32">
        <f>Summary!E116</f>
        <v>2.333333333333333</v>
      </c>
      <c r="F42" s="32">
        <f>Summary!F116</f>
        <v>2.7695652173913046</v>
      </c>
      <c r="G42" s="32">
        <f>Summary!G116</f>
        <v>5</v>
      </c>
      <c r="H42" s="32">
        <f>Summary!H116</f>
        <v>5</v>
      </c>
      <c r="I42" s="32">
        <f>Summary!I116</f>
        <v>1</v>
      </c>
      <c r="J42" t="s">
        <v>130</v>
      </c>
    </row>
    <row r="43" spans="1:10" x14ac:dyDescent="0.3">
      <c r="A43" t="s">
        <v>78</v>
      </c>
      <c r="B43" s="32">
        <f>Summary!B117</f>
        <v>1</v>
      </c>
      <c r="C43" s="32">
        <f>Summary!C117</f>
        <v>0</v>
      </c>
      <c r="D43" s="32">
        <f>Summary!D117</f>
        <v>3.9999999999999996</v>
      </c>
      <c r="E43" s="32">
        <f>Summary!E117</f>
        <v>2.333333333333333</v>
      </c>
      <c r="F43" s="32">
        <f>Summary!F117</f>
        <v>4.1347826086956525</v>
      </c>
      <c r="G43" s="32">
        <f>Summary!G117</f>
        <v>1</v>
      </c>
      <c r="H43" s="32">
        <f>Summary!H117</f>
        <v>5</v>
      </c>
      <c r="I43" s="32">
        <f>Summary!I117</f>
        <v>3</v>
      </c>
      <c r="J43" t="s">
        <v>130</v>
      </c>
    </row>
    <row r="44" spans="1:10" x14ac:dyDescent="0.3">
      <c r="A44" t="s">
        <v>79</v>
      </c>
      <c r="B44" s="32">
        <f>Summary!B118</f>
        <v>3.6666666666666665</v>
      </c>
      <c r="C44" s="32">
        <f>Summary!C118</f>
        <v>4.9631578947368418</v>
      </c>
      <c r="D44" s="32">
        <f>Summary!D118</f>
        <v>1</v>
      </c>
      <c r="E44" s="32">
        <f>Summary!E118</f>
        <v>1</v>
      </c>
      <c r="F44" s="32">
        <f>Summary!F118</f>
        <v>1</v>
      </c>
      <c r="G44" s="32">
        <f>Summary!G118</f>
        <v>5</v>
      </c>
      <c r="H44" s="32">
        <f>Summary!H118</f>
        <v>5</v>
      </c>
      <c r="I44" s="32">
        <f>Summary!I118</f>
        <v>5</v>
      </c>
      <c r="J44" t="s">
        <v>130</v>
      </c>
    </row>
    <row r="45" spans="1:10" x14ac:dyDescent="0.3">
      <c r="A45" t="s">
        <v>80</v>
      </c>
      <c r="B45" s="32">
        <f>Summary!B119</f>
        <v>1</v>
      </c>
      <c r="C45" s="32">
        <f>Summary!C119</f>
        <v>1</v>
      </c>
      <c r="D45" s="32">
        <f>Summary!D119</f>
        <v>5</v>
      </c>
      <c r="E45" s="32">
        <f>Summary!E119</f>
        <v>5</v>
      </c>
      <c r="F45" s="32">
        <f>Summary!F119</f>
        <v>5</v>
      </c>
      <c r="G45" s="32">
        <f>Summary!G119</f>
        <v>5</v>
      </c>
      <c r="H45" s="32">
        <f>Summary!H119</f>
        <v>5</v>
      </c>
      <c r="I45" s="32">
        <f>Summary!I119</f>
        <v>5</v>
      </c>
      <c r="J45" t="s">
        <v>130</v>
      </c>
    </row>
    <row r="46" spans="1:10" x14ac:dyDescent="0.3">
      <c r="A46" t="s">
        <v>81</v>
      </c>
      <c r="B46" s="32">
        <f>Summary!B120</f>
        <v>5</v>
      </c>
      <c r="C46" s="32">
        <f>Summary!C120</f>
        <v>4.9157894736842112</v>
      </c>
      <c r="D46" s="32">
        <f>Summary!D120</f>
        <v>1</v>
      </c>
      <c r="E46" s="32">
        <f>Summary!E120</f>
        <v>1</v>
      </c>
      <c r="F46" s="32">
        <f>Summary!F120</f>
        <v>2.7826086956521743</v>
      </c>
      <c r="G46" s="32">
        <f>Summary!G120</f>
        <v>4.8</v>
      </c>
      <c r="H46" s="32">
        <f>Summary!H120</f>
        <v>5</v>
      </c>
      <c r="I46" s="32">
        <f>Summary!I120</f>
        <v>5</v>
      </c>
      <c r="J46" t="s">
        <v>130</v>
      </c>
    </row>
    <row r="47" spans="1:10" x14ac:dyDescent="0.3">
      <c r="A47" t="s">
        <v>73</v>
      </c>
      <c r="B47" s="32">
        <f>Summary!B123</f>
        <v>5</v>
      </c>
      <c r="C47" s="32">
        <f>Summary!C123</f>
        <v>4.8975741239892177</v>
      </c>
      <c r="D47" s="32">
        <f>Summary!D123</f>
        <v>2.6</v>
      </c>
      <c r="E47" s="32">
        <f>Summary!E123</f>
        <v>4.2</v>
      </c>
      <c r="F47" s="32">
        <f>Summary!F123</f>
        <v>1.4259634888438137</v>
      </c>
      <c r="G47" s="32">
        <f>Summary!G123</f>
        <v>5</v>
      </c>
      <c r="H47" s="32">
        <f>Summary!H123</f>
        <v>1</v>
      </c>
      <c r="I47" s="32">
        <f>Summary!I123</f>
        <v>5</v>
      </c>
      <c r="J47" t="s">
        <v>131</v>
      </c>
    </row>
    <row r="48" spans="1:10" x14ac:dyDescent="0.3">
      <c r="A48" s="13" t="s">
        <v>74</v>
      </c>
      <c r="B48" s="32">
        <f>Summary!B124</f>
        <v>3.2222222222222219</v>
      </c>
      <c r="C48" s="32">
        <f>Summary!C124</f>
        <v>2.8382749326145551</v>
      </c>
      <c r="D48" s="32">
        <f>Summary!D124</f>
        <v>4.2</v>
      </c>
      <c r="E48" s="32">
        <f>Summary!E124</f>
        <v>5</v>
      </c>
      <c r="F48" s="32">
        <f>Summary!F124</f>
        <v>4.1561866125760645</v>
      </c>
      <c r="G48" s="32">
        <f>Summary!G124</f>
        <v>5</v>
      </c>
      <c r="H48" s="32">
        <f>Summary!H124</f>
        <v>5</v>
      </c>
      <c r="I48" s="32">
        <f>Summary!I124</f>
        <v>5</v>
      </c>
      <c r="J48" t="s">
        <v>131</v>
      </c>
    </row>
    <row r="49" spans="1:10" x14ac:dyDescent="0.3">
      <c r="A49" t="s">
        <v>75</v>
      </c>
      <c r="B49" s="32">
        <f>Summary!B125</f>
        <v>5</v>
      </c>
      <c r="C49" s="32">
        <f>Summary!C125</f>
        <v>4.8975741239892177</v>
      </c>
      <c r="D49" s="32">
        <f>Summary!D125</f>
        <v>1</v>
      </c>
      <c r="E49" s="32">
        <f>Summary!E125</f>
        <v>2.6</v>
      </c>
      <c r="F49" s="32">
        <f>Summary!F125</f>
        <v>1</v>
      </c>
      <c r="G49" s="32">
        <f>Summary!G125</f>
        <v>5</v>
      </c>
      <c r="H49" s="32">
        <f>Summary!H125</f>
        <v>5</v>
      </c>
      <c r="I49" s="32">
        <f>Summary!I125</f>
        <v>5</v>
      </c>
      <c r="J49" t="s">
        <v>131</v>
      </c>
    </row>
    <row r="50" spans="1:10" x14ac:dyDescent="0.3">
      <c r="A50" t="s">
        <v>76</v>
      </c>
      <c r="B50" s="32">
        <f>Summary!B126</f>
        <v>5</v>
      </c>
      <c r="C50" s="32">
        <f>Summary!C126</f>
        <v>5</v>
      </c>
      <c r="D50" s="32">
        <f>Summary!D126</f>
        <v>2.6</v>
      </c>
      <c r="E50" s="32">
        <f>Summary!E126</f>
        <v>4.2</v>
      </c>
      <c r="F50" s="32">
        <f>Summary!F126</f>
        <v>3.3691683569979718</v>
      </c>
      <c r="G50" s="32">
        <f>Summary!G126</f>
        <v>4.5999999999999996</v>
      </c>
      <c r="H50" s="32">
        <f>Summary!H126</f>
        <v>5</v>
      </c>
      <c r="I50" s="32">
        <f>Summary!I126</f>
        <v>5</v>
      </c>
      <c r="J50" t="s">
        <v>131</v>
      </c>
    </row>
    <row r="51" spans="1:10" x14ac:dyDescent="0.3">
      <c r="A51" t="s">
        <v>77</v>
      </c>
      <c r="B51" s="32">
        <f>Summary!B127</f>
        <v>5</v>
      </c>
      <c r="C51" s="32">
        <f>Summary!C127</f>
        <v>4.6226415094339615</v>
      </c>
      <c r="D51" s="32">
        <f>Summary!D127</f>
        <v>2.6</v>
      </c>
      <c r="E51" s="32">
        <f>Summary!E127</f>
        <v>1</v>
      </c>
      <c r="F51" s="32">
        <f>Summary!F127</f>
        <v>2.1237322515212984</v>
      </c>
      <c r="G51" s="32">
        <f>Summary!G127</f>
        <v>5</v>
      </c>
      <c r="H51" s="32">
        <f>Summary!H127</f>
        <v>5</v>
      </c>
      <c r="I51" s="32">
        <f>Summary!I127</f>
        <v>1</v>
      </c>
      <c r="J51" t="s">
        <v>131</v>
      </c>
    </row>
    <row r="52" spans="1:10" x14ac:dyDescent="0.3">
      <c r="A52" t="s">
        <v>78</v>
      </c>
      <c r="B52" s="32">
        <f>Summary!B128</f>
        <v>1</v>
      </c>
      <c r="C52" s="32">
        <f>Summary!C128</f>
        <v>0</v>
      </c>
      <c r="D52" s="32">
        <f>Summary!D128</f>
        <v>4.2</v>
      </c>
      <c r="E52" s="32">
        <f>Summary!E128</f>
        <v>5</v>
      </c>
      <c r="F52" s="32">
        <f>Summary!F128</f>
        <v>3.5192697768762677</v>
      </c>
      <c r="G52" s="32">
        <f>Summary!G128</f>
        <v>1</v>
      </c>
      <c r="H52" s="32">
        <f>Summary!H128</f>
        <v>5</v>
      </c>
      <c r="I52" s="32">
        <f>Summary!I128</f>
        <v>3</v>
      </c>
      <c r="J52" t="s">
        <v>131</v>
      </c>
    </row>
    <row r="53" spans="1:10" x14ac:dyDescent="0.3">
      <c r="A53" t="s">
        <v>79</v>
      </c>
      <c r="B53" s="32">
        <f>Summary!B129</f>
        <v>3.6666666666666665</v>
      </c>
      <c r="C53" s="32">
        <f>Summary!C129</f>
        <v>3.2749326145552562</v>
      </c>
      <c r="D53" s="32">
        <f>Summary!D129</f>
        <v>3.4</v>
      </c>
      <c r="E53" s="32">
        <f>Summary!E129</f>
        <v>5</v>
      </c>
      <c r="F53" s="32">
        <f>Summary!F129</f>
        <v>2.2494929006085194</v>
      </c>
      <c r="G53" s="32">
        <f>Summary!G129</f>
        <v>5</v>
      </c>
      <c r="H53" s="32">
        <f>Summary!H129</f>
        <v>5</v>
      </c>
      <c r="I53" s="32">
        <f>Summary!I129</f>
        <v>5</v>
      </c>
      <c r="J53" t="s">
        <v>131</v>
      </c>
    </row>
    <row r="54" spans="1:10" x14ac:dyDescent="0.3">
      <c r="A54" t="s">
        <v>80</v>
      </c>
      <c r="B54" s="32">
        <f>Summary!B130</f>
        <v>1</v>
      </c>
      <c r="C54" s="32">
        <f>Summary!C130</f>
        <v>1</v>
      </c>
      <c r="D54" s="32">
        <f>Summary!D130</f>
        <v>5</v>
      </c>
      <c r="E54" s="32">
        <f>Summary!E130</f>
        <v>5</v>
      </c>
      <c r="F54" s="32">
        <f>Summary!F130</f>
        <v>5</v>
      </c>
      <c r="G54" s="32">
        <f>Summary!G130</f>
        <v>5</v>
      </c>
      <c r="H54" s="32">
        <f>Summary!H130</f>
        <v>5</v>
      </c>
      <c r="I54" s="32">
        <f>Summary!I130</f>
        <v>5</v>
      </c>
      <c r="J54" t="s">
        <v>131</v>
      </c>
    </row>
    <row r="55" spans="1:10" x14ac:dyDescent="0.3">
      <c r="A55" t="s">
        <v>81</v>
      </c>
      <c r="B55" s="32">
        <f>Summary!B131</f>
        <v>5</v>
      </c>
      <c r="C55" s="32">
        <f>Summary!C131</f>
        <v>4.6118598382749321</v>
      </c>
      <c r="D55" s="32">
        <f>Summary!D131</f>
        <v>2.6</v>
      </c>
      <c r="E55" s="32">
        <f>Summary!E131</f>
        <v>5</v>
      </c>
      <c r="F55" s="32">
        <f>Summary!F131</f>
        <v>2.1115618661257609</v>
      </c>
      <c r="G55" s="32">
        <f>Summary!G131</f>
        <v>4.8</v>
      </c>
      <c r="H55" s="32">
        <f>Summary!H131</f>
        <v>5</v>
      </c>
      <c r="I55" s="32">
        <f>Summary!I131</f>
        <v>5</v>
      </c>
      <c r="J55" t="s">
        <v>131</v>
      </c>
    </row>
    <row r="56" spans="1:10" x14ac:dyDescent="0.3">
      <c r="A56" t="s">
        <v>73</v>
      </c>
      <c r="B56" s="32">
        <f>Summary!B134</f>
        <v>5</v>
      </c>
      <c r="C56" s="32">
        <f>Summary!C134</f>
        <v>4.6486486486486491</v>
      </c>
      <c r="D56" s="32">
        <f>Summary!D134</f>
        <v>2</v>
      </c>
      <c r="E56" s="32">
        <f>Summary!E134</f>
        <v>5</v>
      </c>
      <c r="F56" s="32">
        <f>Summary!F134</f>
        <v>1.603351955307263</v>
      </c>
      <c r="G56" s="32">
        <f>Summary!G134</f>
        <v>5</v>
      </c>
      <c r="H56" s="32">
        <f>Summary!H134</f>
        <v>1</v>
      </c>
      <c r="I56" s="32">
        <f>Summary!I134</f>
        <v>5</v>
      </c>
      <c r="J56" t="s">
        <v>132</v>
      </c>
    </row>
    <row r="57" spans="1:10" x14ac:dyDescent="0.3">
      <c r="A57" s="13" t="s">
        <v>74</v>
      </c>
      <c r="B57" s="32">
        <f>Summary!B135</f>
        <v>3.2222222222222219</v>
      </c>
      <c r="C57" s="32">
        <f>Summary!C135</f>
        <v>2.8432432432432435</v>
      </c>
      <c r="D57" s="32">
        <f>Summary!D135</f>
        <v>3.9999999999999996</v>
      </c>
      <c r="E57" s="32">
        <f>Summary!E135</f>
        <v>5</v>
      </c>
      <c r="F57" s="32">
        <f>Summary!F135</f>
        <v>4.0703910614525141</v>
      </c>
      <c r="G57" s="32">
        <f>Summary!G135</f>
        <v>5</v>
      </c>
      <c r="H57" s="32">
        <f>Summary!H135</f>
        <v>5</v>
      </c>
      <c r="I57" s="32">
        <f>Summary!I135</f>
        <v>5</v>
      </c>
      <c r="J57" t="s">
        <v>132</v>
      </c>
    </row>
    <row r="58" spans="1:10" x14ac:dyDescent="0.3">
      <c r="A58" t="s">
        <v>75</v>
      </c>
      <c r="B58" s="32">
        <f>Summary!B136</f>
        <v>5</v>
      </c>
      <c r="C58" s="32">
        <f>Summary!C136</f>
        <v>4.6486486486486491</v>
      </c>
      <c r="D58" s="32">
        <f>Summary!D136</f>
        <v>1</v>
      </c>
      <c r="E58" s="32">
        <f>Summary!E136</f>
        <v>1</v>
      </c>
      <c r="F58" s="32">
        <f>Summary!F136</f>
        <v>1</v>
      </c>
      <c r="G58" s="32">
        <f>Summary!G136</f>
        <v>5</v>
      </c>
      <c r="H58" s="32">
        <f>Summary!H136</f>
        <v>5</v>
      </c>
      <c r="I58" s="32">
        <f>Summary!I136</f>
        <v>5</v>
      </c>
      <c r="J58" t="s">
        <v>132</v>
      </c>
    </row>
    <row r="59" spans="1:10" x14ac:dyDescent="0.3">
      <c r="A59" t="s">
        <v>76</v>
      </c>
      <c r="B59" s="32">
        <f>Summary!B137</f>
        <v>5</v>
      </c>
      <c r="C59" s="32">
        <f>Summary!C137</f>
        <v>5</v>
      </c>
      <c r="D59" s="32">
        <f>Summary!D137</f>
        <v>2</v>
      </c>
      <c r="E59" s="32">
        <f>Summary!E137</f>
        <v>3.0000000000000004</v>
      </c>
      <c r="F59" s="32">
        <f>Summary!F137</f>
        <v>3.1675977653631291</v>
      </c>
      <c r="G59" s="32">
        <f>Summary!G137</f>
        <v>4.5999999999999996</v>
      </c>
      <c r="H59" s="32">
        <f>Summary!H137</f>
        <v>5</v>
      </c>
      <c r="I59" s="32">
        <f>Summary!I137</f>
        <v>5</v>
      </c>
      <c r="J59" t="s">
        <v>132</v>
      </c>
    </row>
    <row r="60" spans="1:10" x14ac:dyDescent="0.3">
      <c r="A60" t="s">
        <v>77</v>
      </c>
      <c r="B60" s="32">
        <f>Summary!B138</f>
        <v>5</v>
      </c>
      <c r="C60" s="32">
        <f>Summary!C138</f>
        <v>4.6270270270270277</v>
      </c>
      <c r="D60" s="32">
        <f>Summary!D138</f>
        <v>2</v>
      </c>
      <c r="E60" s="32">
        <f>Summary!E138</f>
        <v>5</v>
      </c>
      <c r="F60" s="32">
        <f>Summary!F138</f>
        <v>1.8089385474860342</v>
      </c>
      <c r="G60" s="32">
        <f>Summary!G138</f>
        <v>5</v>
      </c>
      <c r="H60" s="32">
        <f>Summary!H138</f>
        <v>5</v>
      </c>
      <c r="I60" s="32">
        <f>Summary!I138</f>
        <v>1</v>
      </c>
      <c r="J60" t="s">
        <v>132</v>
      </c>
    </row>
    <row r="61" spans="1:10" x14ac:dyDescent="0.3">
      <c r="A61" t="s">
        <v>78</v>
      </c>
      <c r="B61" s="32">
        <f>Summary!B139</f>
        <v>1</v>
      </c>
      <c r="C61" s="32">
        <f>Summary!C139</f>
        <v>0</v>
      </c>
      <c r="D61" s="32">
        <f>Summary!D139</f>
        <v>3.9999999999999996</v>
      </c>
      <c r="E61" s="32">
        <f>Summary!E139</f>
        <v>5</v>
      </c>
      <c r="F61" s="32">
        <f>Summary!F139</f>
        <v>3.3687150837988833</v>
      </c>
      <c r="G61" s="32">
        <f>Summary!G139</f>
        <v>1</v>
      </c>
      <c r="H61" s="32">
        <f>Summary!H139</f>
        <v>5</v>
      </c>
      <c r="I61" s="32">
        <f>Summary!I139</f>
        <v>3</v>
      </c>
      <c r="J61" t="s">
        <v>132</v>
      </c>
    </row>
    <row r="62" spans="1:10" x14ac:dyDescent="0.3">
      <c r="A62" t="s">
        <v>79</v>
      </c>
      <c r="B62" s="32">
        <f>Summary!B140</f>
        <v>3.6666666666666665</v>
      </c>
      <c r="C62" s="32">
        <f>Summary!C140</f>
        <v>3.2810810810810813</v>
      </c>
      <c r="D62" s="32">
        <f>Summary!D140</f>
        <v>2.9999999999999996</v>
      </c>
      <c r="E62" s="32">
        <f>Summary!E140</f>
        <v>5</v>
      </c>
      <c r="F62" s="32">
        <f>Summary!F140</f>
        <v>1.9698324022346378</v>
      </c>
      <c r="G62" s="32">
        <f>Summary!G140</f>
        <v>5</v>
      </c>
      <c r="H62" s="32">
        <f>Summary!H140</f>
        <v>5</v>
      </c>
      <c r="I62" s="32">
        <f>Summary!I140</f>
        <v>5</v>
      </c>
      <c r="J62" t="s">
        <v>132</v>
      </c>
    </row>
    <row r="63" spans="1:10" x14ac:dyDescent="0.3">
      <c r="A63" t="s">
        <v>80</v>
      </c>
      <c r="B63" s="32">
        <f>Summary!B141</f>
        <v>1</v>
      </c>
      <c r="C63" s="32">
        <f>Summary!C141</f>
        <v>1</v>
      </c>
      <c r="D63" s="32">
        <f>Summary!D141</f>
        <v>5</v>
      </c>
      <c r="E63" s="32">
        <f>Summary!E141</f>
        <v>5</v>
      </c>
      <c r="F63" s="32">
        <f>Summary!F141</f>
        <v>5</v>
      </c>
      <c r="G63" s="32">
        <f>Summary!G141</f>
        <v>5</v>
      </c>
      <c r="H63" s="32">
        <f>Summary!H141</f>
        <v>5</v>
      </c>
      <c r="I63" s="32">
        <f>Summary!I141</f>
        <v>5</v>
      </c>
      <c r="J63" t="s">
        <v>132</v>
      </c>
    </row>
    <row r="64" spans="1:10" x14ac:dyDescent="0.3">
      <c r="A64" t="s">
        <v>81</v>
      </c>
      <c r="B64" s="32">
        <f>Summary!B142</f>
        <v>5</v>
      </c>
      <c r="C64" s="32">
        <f>Summary!C142</f>
        <v>4.6270270270270277</v>
      </c>
      <c r="D64" s="32">
        <f>Summary!D142</f>
        <v>2</v>
      </c>
      <c r="E64" s="32">
        <f>Summary!E142</f>
        <v>5</v>
      </c>
      <c r="F64" s="32">
        <f>Summary!F142</f>
        <v>1.8044692737430177</v>
      </c>
      <c r="G64" s="32">
        <f>Summary!G142</f>
        <v>4.8</v>
      </c>
      <c r="H64" s="32">
        <f>Summary!H142</f>
        <v>5</v>
      </c>
      <c r="I64" s="32">
        <f>Summary!I142</f>
        <v>5</v>
      </c>
      <c r="J64" t="s">
        <v>132</v>
      </c>
    </row>
    <row r="65" spans="1:10" x14ac:dyDescent="0.3">
      <c r="A65" t="s">
        <v>73</v>
      </c>
      <c r="B65" s="32">
        <f>Summary!B145</f>
        <v>5</v>
      </c>
      <c r="C65" s="32">
        <f>Summary!C145</f>
        <v>4.6833333333333336</v>
      </c>
      <c r="D65" s="32">
        <f>Summary!D145</f>
        <v>2</v>
      </c>
      <c r="E65" s="32">
        <f>Summary!E145</f>
        <v>5</v>
      </c>
      <c r="F65" s="32">
        <f>Summary!F145</f>
        <v>1.6619859578736209</v>
      </c>
      <c r="G65" s="32">
        <f>Summary!G145</f>
        <v>5</v>
      </c>
      <c r="H65" s="32">
        <f>Summary!H145</f>
        <v>1</v>
      </c>
      <c r="I65" s="32">
        <f>Summary!I145</f>
        <v>5</v>
      </c>
      <c r="J65" t="s">
        <v>133</v>
      </c>
    </row>
    <row r="66" spans="1:10" x14ac:dyDescent="0.3">
      <c r="A66" s="13" t="s">
        <v>74</v>
      </c>
      <c r="B66" s="32">
        <f>Summary!B146</f>
        <v>3.2222222222222219</v>
      </c>
      <c r="C66" s="32">
        <f>Summary!C146</f>
        <v>2.8944444444444444</v>
      </c>
      <c r="D66" s="32">
        <f>Summary!D146</f>
        <v>3.9999999999999996</v>
      </c>
      <c r="E66" s="32">
        <f>Summary!E146</f>
        <v>5</v>
      </c>
      <c r="F66" s="32">
        <f>Summary!F146</f>
        <v>4.5787362086258776</v>
      </c>
      <c r="G66" s="32">
        <f>Summary!G146</f>
        <v>5</v>
      </c>
      <c r="H66" s="32">
        <f>Summary!H146</f>
        <v>5</v>
      </c>
      <c r="I66" s="32">
        <f>Summary!I146</f>
        <v>5</v>
      </c>
      <c r="J66" t="s">
        <v>133</v>
      </c>
    </row>
    <row r="67" spans="1:10" x14ac:dyDescent="0.3">
      <c r="A67" t="s">
        <v>75</v>
      </c>
      <c r="B67" s="32">
        <f>Summary!B147</f>
        <v>5</v>
      </c>
      <c r="C67" s="32">
        <f>Summary!C147</f>
        <v>4.6833333333333336</v>
      </c>
      <c r="D67" s="32">
        <f>Summary!D147</f>
        <v>1</v>
      </c>
      <c r="E67" s="32">
        <f>Summary!E147</f>
        <v>1</v>
      </c>
      <c r="F67" s="32">
        <f>Summary!F147</f>
        <v>1</v>
      </c>
      <c r="G67" s="32">
        <f>Summary!G147</f>
        <v>5</v>
      </c>
      <c r="H67" s="32">
        <f>Summary!H147</f>
        <v>5</v>
      </c>
      <c r="I67" s="32">
        <f>Summary!I147</f>
        <v>5</v>
      </c>
      <c r="J67" t="s">
        <v>133</v>
      </c>
    </row>
    <row r="68" spans="1:10" x14ac:dyDescent="0.3">
      <c r="A68" t="s">
        <v>76</v>
      </c>
      <c r="B68" s="32">
        <f>Summary!B148</f>
        <v>5</v>
      </c>
      <c r="C68" s="32">
        <f>Summary!C148</f>
        <v>5</v>
      </c>
      <c r="D68" s="32">
        <f>Summary!D148</f>
        <v>2</v>
      </c>
      <c r="E68" s="32">
        <f>Summary!E148</f>
        <v>3.0000000000000004</v>
      </c>
      <c r="F68" s="32">
        <f>Summary!F148</f>
        <v>1.7101303911735202</v>
      </c>
      <c r="G68" s="32">
        <f>Summary!G148</f>
        <v>4.5999999999999996</v>
      </c>
      <c r="H68" s="32">
        <f>Summary!H148</f>
        <v>5</v>
      </c>
      <c r="I68" s="32">
        <f>Summary!I148</f>
        <v>5</v>
      </c>
      <c r="J68" t="s">
        <v>133</v>
      </c>
    </row>
    <row r="69" spans="1:10" x14ac:dyDescent="0.3">
      <c r="A69" t="s">
        <v>77</v>
      </c>
      <c r="B69" s="32">
        <f>Summary!B149</f>
        <v>5</v>
      </c>
      <c r="C69" s="32">
        <f>Summary!C149</f>
        <v>4.6833333333333336</v>
      </c>
      <c r="D69" s="32">
        <f>Summary!D149</f>
        <v>2</v>
      </c>
      <c r="E69" s="32">
        <f>Summary!E149</f>
        <v>5</v>
      </c>
      <c r="F69" s="32">
        <f>Summary!F149</f>
        <v>1.9227683049147437</v>
      </c>
      <c r="G69" s="32">
        <f>Summary!G149</f>
        <v>5</v>
      </c>
      <c r="H69" s="32">
        <f>Summary!H149</f>
        <v>5</v>
      </c>
      <c r="I69" s="32">
        <f>Summary!I149</f>
        <v>1</v>
      </c>
      <c r="J69" t="s">
        <v>133</v>
      </c>
    </row>
    <row r="70" spans="1:10" x14ac:dyDescent="0.3">
      <c r="A70" t="s">
        <v>78</v>
      </c>
      <c r="B70" s="32">
        <f>Summary!B150</f>
        <v>1</v>
      </c>
      <c r="C70" s="32">
        <f>Summary!C150</f>
        <v>0</v>
      </c>
      <c r="D70" s="32">
        <f>Summary!D150</f>
        <v>3.9999999999999996</v>
      </c>
      <c r="E70" s="32">
        <f>Summary!E150</f>
        <v>5</v>
      </c>
      <c r="F70" s="32">
        <f>Summary!F150</f>
        <v>3.5356068204613842</v>
      </c>
      <c r="G70" s="32">
        <f>Summary!G150</f>
        <v>1</v>
      </c>
      <c r="H70" s="32">
        <f>Summary!H150</f>
        <v>5</v>
      </c>
      <c r="I70" s="32">
        <f>Summary!I150</f>
        <v>3</v>
      </c>
      <c r="J70" t="s">
        <v>133</v>
      </c>
    </row>
    <row r="71" spans="1:10" x14ac:dyDescent="0.3">
      <c r="A71" t="s">
        <v>79</v>
      </c>
      <c r="B71" s="32">
        <f>Summary!B151</f>
        <v>3.6666666666666665</v>
      </c>
      <c r="C71" s="32">
        <f>Summary!C151</f>
        <v>3.3444444444444446</v>
      </c>
      <c r="D71" s="32">
        <f>Summary!D151</f>
        <v>2.9999999999999996</v>
      </c>
      <c r="E71" s="32">
        <f>Summary!E151</f>
        <v>5</v>
      </c>
      <c r="F71" s="32">
        <f>Summary!F151</f>
        <v>2.2798395185556672</v>
      </c>
      <c r="G71" s="32">
        <f>Summary!G151</f>
        <v>5</v>
      </c>
      <c r="H71" s="32">
        <f>Summary!H151</f>
        <v>5</v>
      </c>
      <c r="I71" s="32">
        <f>Summary!I151</f>
        <v>5</v>
      </c>
      <c r="J71" t="s">
        <v>133</v>
      </c>
    </row>
    <row r="72" spans="1:10" x14ac:dyDescent="0.3">
      <c r="A72" t="s">
        <v>80</v>
      </c>
      <c r="B72" s="32">
        <f>Summary!B152</f>
        <v>1</v>
      </c>
      <c r="C72" s="32">
        <f>Summary!C152</f>
        <v>1</v>
      </c>
      <c r="D72" s="32">
        <f>Summary!D152</f>
        <v>5</v>
      </c>
      <c r="E72" s="32">
        <f>Summary!E152</f>
        <v>5</v>
      </c>
      <c r="F72" s="32">
        <f>Summary!F152</f>
        <v>5</v>
      </c>
      <c r="G72" s="32">
        <f>Summary!G152</f>
        <v>5</v>
      </c>
      <c r="H72" s="32">
        <f>Summary!H152</f>
        <v>5</v>
      </c>
      <c r="I72" s="32">
        <f>Summary!I152</f>
        <v>5</v>
      </c>
      <c r="J72" t="s">
        <v>133</v>
      </c>
    </row>
    <row r="73" spans="1:10" x14ac:dyDescent="0.3">
      <c r="A73" t="s">
        <v>81</v>
      </c>
      <c r="B73" s="32">
        <f>Summary!B153</f>
        <v>5</v>
      </c>
      <c r="C73" s="32">
        <f>Summary!C153</f>
        <v>4.6333333333333329</v>
      </c>
      <c r="D73" s="32">
        <f>Summary!D153</f>
        <v>2</v>
      </c>
      <c r="E73" s="32">
        <f>Summary!E153</f>
        <v>5</v>
      </c>
      <c r="F73" s="32">
        <f>Summary!F153</f>
        <v>1.902708124373119</v>
      </c>
      <c r="G73" s="32">
        <f>Summary!G153</f>
        <v>4.8</v>
      </c>
      <c r="H73" s="32">
        <f>Summary!H153</f>
        <v>5</v>
      </c>
      <c r="I73" s="32">
        <f>Summary!I153</f>
        <v>5</v>
      </c>
      <c r="J73" t="s">
        <v>133</v>
      </c>
    </row>
    <row r="74" spans="1:10" x14ac:dyDescent="0.3">
      <c r="A74" t="s">
        <v>73</v>
      </c>
      <c r="B74" s="32">
        <f>Summary!B156</f>
        <v>5</v>
      </c>
      <c r="C74" s="32">
        <f>Summary!C156</f>
        <v>4.2322274881516577</v>
      </c>
      <c r="D74" s="32">
        <f>Summary!D156</f>
        <v>2.333333333333333</v>
      </c>
      <c r="E74" s="32">
        <f>Summary!E156</f>
        <v>5</v>
      </c>
      <c r="F74" s="32">
        <f>Summary!F156</f>
        <v>3.1008403361344534</v>
      </c>
      <c r="G74" s="32">
        <f>Summary!G156</f>
        <v>5</v>
      </c>
      <c r="H74" s="32">
        <f>Summary!H156</f>
        <v>1</v>
      </c>
      <c r="I74" s="32">
        <f>Summary!I156</f>
        <v>5</v>
      </c>
      <c r="J74" t="s">
        <v>134</v>
      </c>
    </row>
    <row r="75" spans="1:10" x14ac:dyDescent="0.3">
      <c r="A75" s="13" t="s">
        <v>74</v>
      </c>
      <c r="B75" s="32">
        <f>Summary!B157</f>
        <v>3.2222222222222219</v>
      </c>
      <c r="C75" s="32">
        <f>Summary!C157</f>
        <v>4.2322274881516577</v>
      </c>
      <c r="D75" s="32">
        <f>Summary!D157</f>
        <v>3.666666666666667</v>
      </c>
      <c r="E75" s="32">
        <f>Summary!E157</f>
        <v>5</v>
      </c>
      <c r="F75" s="32">
        <f>Summary!F157</f>
        <v>3.6386554621848739</v>
      </c>
      <c r="G75" s="32">
        <f>Summary!G157</f>
        <v>5</v>
      </c>
      <c r="H75" s="32">
        <f>Summary!H157</f>
        <v>5</v>
      </c>
      <c r="I75" s="32">
        <f>Summary!I157</f>
        <v>5</v>
      </c>
      <c r="J75" t="s">
        <v>134</v>
      </c>
    </row>
    <row r="76" spans="1:10" x14ac:dyDescent="0.3">
      <c r="A76" t="s">
        <v>75</v>
      </c>
      <c r="B76" s="32">
        <f>Summary!B158</f>
        <v>5</v>
      </c>
      <c r="C76" s="32">
        <f>Summary!C158</f>
        <v>4.2322274881516577</v>
      </c>
      <c r="D76" s="32">
        <f>Summary!D158</f>
        <v>1</v>
      </c>
      <c r="E76" s="32">
        <f>Summary!E158</f>
        <v>1</v>
      </c>
      <c r="F76" s="32">
        <f>Summary!F158</f>
        <v>1.0560224089635857</v>
      </c>
      <c r="G76" s="32">
        <f>Summary!G158</f>
        <v>5</v>
      </c>
      <c r="H76" s="32">
        <f>Summary!H158</f>
        <v>5</v>
      </c>
      <c r="I76" s="32">
        <f>Summary!I158</f>
        <v>5</v>
      </c>
      <c r="J76" t="s">
        <v>134</v>
      </c>
    </row>
    <row r="77" spans="1:10" x14ac:dyDescent="0.3">
      <c r="A77" t="s">
        <v>76</v>
      </c>
      <c r="B77" s="32">
        <f>Summary!B159</f>
        <v>5</v>
      </c>
      <c r="C77" s="32">
        <f>Summary!C159</f>
        <v>4.2322274881516577</v>
      </c>
      <c r="D77" s="32">
        <f>Summary!D159</f>
        <v>2.333333333333333</v>
      </c>
      <c r="E77" s="32">
        <f>Summary!E159</f>
        <v>5</v>
      </c>
      <c r="F77" s="32">
        <f>Summary!F159</f>
        <v>3.9971988795518207</v>
      </c>
      <c r="G77" s="32">
        <f>Summary!G159</f>
        <v>4.5999999999999996</v>
      </c>
      <c r="H77" s="32">
        <f>Summary!H159</f>
        <v>5</v>
      </c>
      <c r="I77" s="32">
        <f>Summary!I159</f>
        <v>5</v>
      </c>
      <c r="J77" t="s">
        <v>134</v>
      </c>
    </row>
    <row r="78" spans="1:10" x14ac:dyDescent="0.3">
      <c r="A78" t="s">
        <v>77</v>
      </c>
      <c r="B78" s="32">
        <f>Summary!B160</f>
        <v>5</v>
      </c>
      <c r="C78" s="32">
        <f>Summary!C160</f>
        <v>4.2322274881516577</v>
      </c>
      <c r="D78" s="32">
        <f>Summary!D160</f>
        <v>2.333333333333333</v>
      </c>
      <c r="E78" s="32">
        <f>Summary!E160</f>
        <v>5</v>
      </c>
      <c r="F78" s="32">
        <f>Summary!F160</f>
        <v>3.6498599439775909</v>
      </c>
      <c r="G78" s="32">
        <f>Summary!G160</f>
        <v>5</v>
      </c>
      <c r="H78" s="32">
        <f>Summary!H160</f>
        <v>5</v>
      </c>
      <c r="I78" s="32">
        <f>Summary!I160</f>
        <v>1</v>
      </c>
      <c r="J78" t="s">
        <v>134</v>
      </c>
    </row>
    <row r="79" spans="1:10" x14ac:dyDescent="0.3">
      <c r="A79" t="s">
        <v>78</v>
      </c>
      <c r="B79" s="32">
        <f>Summary!B161</f>
        <v>1</v>
      </c>
      <c r="C79" s="32">
        <f>Summary!C161</f>
        <v>0</v>
      </c>
      <c r="D79" s="32">
        <f>Summary!D161</f>
        <v>3.666666666666667</v>
      </c>
      <c r="E79" s="32">
        <f>Summary!E161</f>
        <v>5</v>
      </c>
      <c r="F79" s="32">
        <f>Summary!F161</f>
        <v>5</v>
      </c>
      <c r="G79" s="32">
        <f>Summary!G161</f>
        <v>1</v>
      </c>
      <c r="H79" s="32">
        <f>Summary!H161</f>
        <v>5</v>
      </c>
      <c r="I79" s="32">
        <f>Summary!I161</f>
        <v>3</v>
      </c>
      <c r="J79" t="s">
        <v>134</v>
      </c>
    </row>
    <row r="80" spans="1:10" x14ac:dyDescent="0.3">
      <c r="A80" t="s">
        <v>79</v>
      </c>
      <c r="B80" s="32">
        <f>Summary!B162</f>
        <v>3.6666666666666665</v>
      </c>
      <c r="C80" s="32">
        <f>Summary!C162</f>
        <v>5</v>
      </c>
      <c r="D80" s="32">
        <f>Summary!D162</f>
        <v>2.333333333333333</v>
      </c>
      <c r="E80" s="32">
        <f>Summary!E162</f>
        <v>5</v>
      </c>
      <c r="F80" s="32">
        <f>Summary!F162</f>
        <v>1</v>
      </c>
      <c r="G80" s="32">
        <f>Summary!G162</f>
        <v>5</v>
      </c>
      <c r="H80" s="32">
        <f>Summary!H162</f>
        <v>5</v>
      </c>
      <c r="I80" s="32">
        <f>Summary!I162</f>
        <v>5</v>
      </c>
      <c r="J80" t="s">
        <v>134</v>
      </c>
    </row>
    <row r="81" spans="1:10" x14ac:dyDescent="0.3">
      <c r="A81" t="s">
        <v>80</v>
      </c>
      <c r="B81" s="32">
        <f>Summary!B163</f>
        <v>1</v>
      </c>
      <c r="C81" s="32">
        <f>Summary!C163</f>
        <v>1</v>
      </c>
      <c r="D81" s="32">
        <f>Summary!D163</f>
        <v>5</v>
      </c>
      <c r="E81" s="32">
        <f>Summary!E163</f>
        <v>5</v>
      </c>
      <c r="F81" s="32">
        <f>Summary!F163</f>
        <v>4.7983193277310923</v>
      </c>
      <c r="G81" s="32">
        <f>Summary!G163</f>
        <v>5</v>
      </c>
      <c r="H81" s="32">
        <f>Summary!H163</f>
        <v>5</v>
      </c>
      <c r="I81" s="32">
        <f>Summary!I163</f>
        <v>5</v>
      </c>
      <c r="J81" t="s">
        <v>134</v>
      </c>
    </row>
    <row r="82" spans="1:10" x14ac:dyDescent="0.3">
      <c r="A82" t="s">
        <v>81</v>
      </c>
      <c r="B82" s="32">
        <f>Summary!B164</f>
        <v>5</v>
      </c>
      <c r="C82" s="32">
        <f>Summary!C164</f>
        <v>4.2322274881516577</v>
      </c>
      <c r="D82" s="32">
        <f>Summary!D164</f>
        <v>2.333333333333333</v>
      </c>
      <c r="E82" s="32">
        <f>Summary!E164</f>
        <v>5</v>
      </c>
      <c r="F82" s="32">
        <f>Summary!F164</f>
        <v>4.0028011204481793</v>
      </c>
      <c r="G82" s="32">
        <f>Summary!G164</f>
        <v>4.8</v>
      </c>
      <c r="H82" s="32">
        <f>Summary!H164</f>
        <v>5</v>
      </c>
      <c r="I82" s="32">
        <f>Summary!I164</f>
        <v>5</v>
      </c>
      <c r="J82" t="s">
        <v>134</v>
      </c>
    </row>
    <row r="83" spans="1:10" x14ac:dyDescent="0.3">
      <c r="A83" t="s">
        <v>73</v>
      </c>
      <c r="B83" s="32">
        <f>Summary!B167</f>
        <v>5</v>
      </c>
      <c r="C83" s="32">
        <f>Summary!C167</f>
        <v>4.2322274881516595</v>
      </c>
      <c r="D83" s="32">
        <f>Summary!D167</f>
        <v>2.333333333333333</v>
      </c>
      <c r="E83" s="32">
        <f>Summary!E167</f>
        <v>5</v>
      </c>
      <c r="F83" s="32">
        <f>Summary!F167</f>
        <v>3.4906600249066004</v>
      </c>
      <c r="G83" s="32">
        <f>Summary!G167</f>
        <v>5</v>
      </c>
      <c r="H83" s="32">
        <f>Summary!H167</f>
        <v>1</v>
      </c>
      <c r="I83" s="32">
        <f>Summary!I167</f>
        <v>5</v>
      </c>
      <c r="J83" t="s">
        <v>135</v>
      </c>
    </row>
    <row r="84" spans="1:10" x14ac:dyDescent="0.3">
      <c r="A84" s="13" t="s">
        <v>74</v>
      </c>
      <c r="B84" s="32">
        <f>Summary!B168</f>
        <v>3.2222222222222219</v>
      </c>
      <c r="C84" s="32">
        <f>Summary!C168</f>
        <v>4.2322274881516595</v>
      </c>
      <c r="D84" s="32">
        <f>Summary!D168</f>
        <v>3.666666666666667</v>
      </c>
      <c r="E84" s="32">
        <f>Summary!E168</f>
        <v>5</v>
      </c>
      <c r="F84" s="32">
        <f>Summary!F168</f>
        <v>3.9638854296388546</v>
      </c>
      <c r="G84" s="32">
        <f>Summary!G168</f>
        <v>5</v>
      </c>
      <c r="H84" s="32">
        <f>Summary!H168</f>
        <v>5</v>
      </c>
      <c r="I84" s="32">
        <f>Summary!I168</f>
        <v>5</v>
      </c>
      <c r="J84" t="s">
        <v>135</v>
      </c>
    </row>
    <row r="85" spans="1:10" x14ac:dyDescent="0.3">
      <c r="A85" t="s">
        <v>75</v>
      </c>
      <c r="B85" s="32">
        <f>Summary!B169</f>
        <v>5</v>
      </c>
      <c r="C85" s="32">
        <f>Summary!C169</f>
        <v>4.2322274881516595</v>
      </c>
      <c r="D85" s="32">
        <f>Summary!D169</f>
        <v>1</v>
      </c>
      <c r="E85" s="32">
        <f>Summary!E169</f>
        <v>1</v>
      </c>
      <c r="F85" s="32">
        <f>Summary!F169</f>
        <v>1</v>
      </c>
      <c r="G85" s="32">
        <f>Summary!G169</f>
        <v>5</v>
      </c>
      <c r="H85" s="32">
        <f>Summary!H169</f>
        <v>5</v>
      </c>
      <c r="I85" s="32">
        <f>Summary!I169</f>
        <v>5</v>
      </c>
      <c r="J85" t="s">
        <v>135</v>
      </c>
    </row>
    <row r="86" spans="1:10" x14ac:dyDescent="0.3">
      <c r="A86" t="s">
        <v>76</v>
      </c>
      <c r="B86" s="32">
        <f>Summary!B170</f>
        <v>5</v>
      </c>
      <c r="C86" s="32">
        <f>Summary!C170</f>
        <v>4.2322274881516595</v>
      </c>
      <c r="D86" s="32">
        <f>Summary!D170</f>
        <v>2.333333333333333</v>
      </c>
      <c r="E86" s="32">
        <f>Summary!E170</f>
        <v>5</v>
      </c>
      <c r="F86" s="32">
        <f>Summary!F170</f>
        <v>4.1382316313823164</v>
      </c>
      <c r="G86" s="32">
        <f>Summary!G170</f>
        <v>4.5999999999999996</v>
      </c>
      <c r="H86" s="32">
        <f>Summary!H170</f>
        <v>5</v>
      </c>
      <c r="I86" s="32">
        <f>Summary!I170</f>
        <v>5</v>
      </c>
      <c r="J86" t="s">
        <v>135</v>
      </c>
    </row>
    <row r="87" spans="1:10" x14ac:dyDescent="0.3">
      <c r="A87" t="s">
        <v>77</v>
      </c>
      <c r="B87" s="32">
        <f>Summary!B171</f>
        <v>5</v>
      </c>
      <c r="C87" s="32">
        <f>Summary!C171</f>
        <v>4.2322274881516595</v>
      </c>
      <c r="D87" s="32">
        <f>Summary!D171</f>
        <v>2.333333333333333</v>
      </c>
      <c r="E87" s="32">
        <f>Summary!E171</f>
        <v>5</v>
      </c>
      <c r="F87" s="32">
        <f>Summary!F171</f>
        <v>3.8642590286425906</v>
      </c>
      <c r="G87" s="32">
        <f>Summary!G171</f>
        <v>5</v>
      </c>
      <c r="H87" s="32">
        <f>Summary!H171</f>
        <v>5</v>
      </c>
      <c r="I87" s="32">
        <f>Summary!I171</f>
        <v>1</v>
      </c>
      <c r="J87" t="s">
        <v>135</v>
      </c>
    </row>
    <row r="88" spans="1:10" x14ac:dyDescent="0.3">
      <c r="A88" t="s">
        <v>78</v>
      </c>
      <c r="B88" s="32">
        <f>Summary!B172</f>
        <v>1</v>
      </c>
      <c r="C88" s="32">
        <f>Summary!C172</f>
        <v>0</v>
      </c>
      <c r="D88" s="32">
        <f>Summary!D172</f>
        <v>3.666666666666667</v>
      </c>
      <c r="E88" s="32">
        <f>Summary!E172</f>
        <v>5</v>
      </c>
      <c r="F88" s="32">
        <f>Summary!F172</f>
        <v>3.4906600249066004</v>
      </c>
      <c r="G88" s="32">
        <f>Summary!G172</f>
        <v>1</v>
      </c>
      <c r="H88" s="32">
        <f>Summary!H172</f>
        <v>5</v>
      </c>
      <c r="I88" s="32">
        <f>Summary!I172</f>
        <v>3</v>
      </c>
      <c r="J88" t="s">
        <v>135</v>
      </c>
    </row>
    <row r="89" spans="1:10" x14ac:dyDescent="0.3">
      <c r="A89" t="s">
        <v>79</v>
      </c>
      <c r="B89" s="32">
        <f>Summary!B173</f>
        <v>3.6666666666666665</v>
      </c>
      <c r="C89" s="32">
        <f>Summary!C173</f>
        <v>5</v>
      </c>
      <c r="D89" s="32">
        <f>Summary!D173</f>
        <v>2.333333333333333</v>
      </c>
      <c r="E89" s="32">
        <f>Summary!E173</f>
        <v>5</v>
      </c>
      <c r="F89" s="32">
        <f>Summary!F173</f>
        <v>1.6226650062266503</v>
      </c>
      <c r="G89" s="32">
        <f>Summary!G173</f>
        <v>5</v>
      </c>
      <c r="H89" s="32">
        <f>Summary!H173</f>
        <v>5</v>
      </c>
      <c r="I89" s="32">
        <f>Summary!I173</f>
        <v>5</v>
      </c>
      <c r="J89" t="s">
        <v>135</v>
      </c>
    </row>
    <row r="90" spans="1:10" x14ac:dyDescent="0.3">
      <c r="A90" t="s">
        <v>80</v>
      </c>
      <c r="B90" s="32">
        <f>Summary!B174</f>
        <v>1</v>
      </c>
      <c r="C90" s="32">
        <f>Summary!C174</f>
        <v>1</v>
      </c>
      <c r="D90" s="32">
        <f>Summary!D174</f>
        <v>5</v>
      </c>
      <c r="E90" s="32">
        <f>Summary!E174</f>
        <v>5</v>
      </c>
      <c r="F90" s="32">
        <f>Summary!F174</f>
        <v>5</v>
      </c>
      <c r="G90" s="32">
        <f>Summary!G174</f>
        <v>5</v>
      </c>
      <c r="H90" s="32">
        <f>Summary!H174</f>
        <v>5</v>
      </c>
      <c r="I90" s="32">
        <f>Summary!I174</f>
        <v>5</v>
      </c>
      <c r="J90" t="s">
        <v>135</v>
      </c>
    </row>
    <row r="91" spans="1:10" x14ac:dyDescent="0.3">
      <c r="A91" t="s">
        <v>81</v>
      </c>
      <c r="B91" s="32">
        <f>Summary!B175</f>
        <v>5</v>
      </c>
      <c r="C91" s="32">
        <f>Summary!C175</f>
        <v>4.2322274881516595</v>
      </c>
      <c r="D91" s="32">
        <f>Summary!D175</f>
        <v>2.333333333333333</v>
      </c>
      <c r="E91" s="32">
        <f>Summary!E175</f>
        <v>5</v>
      </c>
      <c r="F91" s="32">
        <f>Summary!F175</f>
        <v>4.1432129514321296</v>
      </c>
      <c r="G91" s="32">
        <f>Summary!G175</f>
        <v>4.8</v>
      </c>
      <c r="H91" s="32">
        <f>Summary!H175</f>
        <v>5</v>
      </c>
      <c r="I91" s="32">
        <f>Summary!I175</f>
        <v>5</v>
      </c>
      <c r="J91" t="s">
        <v>135</v>
      </c>
    </row>
    <row r="92" spans="1:10" x14ac:dyDescent="0.3">
      <c r="A92" t="s">
        <v>73</v>
      </c>
      <c r="B92" s="32">
        <f>Summary!B178</f>
        <v>5</v>
      </c>
      <c r="C92" s="32">
        <f>Summary!C178</f>
        <v>4.2322274881516595</v>
      </c>
      <c r="D92" s="32">
        <f>Summary!D178</f>
        <v>3.666666666666667</v>
      </c>
      <c r="E92" s="32">
        <f>Summary!E178</f>
        <v>5</v>
      </c>
      <c r="F92" s="32">
        <f>Summary!F178</f>
        <v>4.1953833470733715</v>
      </c>
      <c r="G92" s="32">
        <f>Summary!G178</f>
        <v>5</v>
      </c>
      <c r="H92" s="32">
        <f>Summary!H178</f>
        <v>1</v>
      </c>
      <c r="I92" s="32">
        <f>Summary!I178</f>
        <v>5</v>
      </c>
      <c r="J92" t="s">
        <v>136</v>
      </c>
    </row>
    <row r="93" spans="1:10" x14ac:dyDescent="0.3">
      <c r="A93" s="13" t="s">
        <v>74</v>
      </c>
      <c r="B93" s="32">
        <f>Summary!B179</f>
        <v>3.2222222222222219</v>
      </c>
      <c r="C93" s="32">
        <f>Summary!C179</f>
        <v>4.2322274881516595</v>
      </c>
      <c r="D93" s="32">
        <f>Summary!D179</f>
        <v>2.333333333333333</v>
      </c>
      <c r="E93" s="32">
        <f>Summary!E179</f>
        <v>5</v>
      </c>
      <c r="F93" s="32">
        <f>Summary!F179</f>
        <v>4.1986809563066778</v>
      </c>
      <c r="G93" s="32">
        <f>Summary!G179</f>
        <v>5</v>
      </c>
      <c r="H93" s="32">
        <f>Summary!H179</f>
        <v>5</v>
      </c>
      <c r="I93" s="32">
        <f>Summary!I179</f>
        <v>5</v>
      </c>
      <c r="J93" t="s">
        <v>136</v>
      </c>
    </row>
    <row r="94" spans="1:10" x14ac:dyDescent="0.3">
      <c r="A94" t="s">
        <v>75</v>
      </c>
      <c r="B94" s="32">
        <f>Summary!B180</f>
        <v>5</v>
      </c>
      <c r="C94" s="32">
        <f>Summary!C180</f>
        <v>4.2322274881516595</v>
      </c>
      <c r="D94" s="32">
        <f>Summary!D180</f>
        <v>1</v>
      </c>
      <c r="E94" s="32">
        <f>Summary!E180</f>
        <v>1</v>
      </c>
      <c r="F94" s="32">
        <f>Summary!F180</f>
        <v>1</v>
      </c>
      <c r="G94" s="32">
        <f>Summary!G180</f>
        <v>5</v>
      </c>
      <c r="H94" s="32">
        <f>Summary!H180</f>
        <v>5</v>
      </c>
      <c r="I94" s="32">
        <f>Summary!I180</f>
        <v>5</v>
      </c>
      <c r="J94" t="s">
        <v>136</v>
      </c>
    </row>
    <row r="95" spans="1:10" x14ac:dyDescent="0.3">
      <c r="A95" t="s">
        <v>76</v>
      </c>
      <c r="B95" s="32">
        <f>Summary!B181</f>
        <v>5</v>
      </c>
      <c r="C95" s="32">
        <f>Summary!C181</f>
        <v>4.2322274881516595</v>
      </c>
      <c r="D95" s="32">
        <f>Summary!D181</f>
        <v>2.333333333333333</v>
      </c>
      <c r="E95" s="32">
        <f>Summary!E181</f>
        <v>5</v>
      </c>
      <c r="F95" s="32">
        <f>Summary!F181</f>
        <v>3.9909315746084086</v>
      </c>
      <c r="G95" s="32">
        <f>Summary!G181</f>
        <v>4.5999999999999996</v>
      </c>
      <c r="H95" s="32">
        <f>Summary!H181</f>
        <v>5</v>
      </c>
      <c r="I95" s="32">
        <f>Summary!I181</f>
        <v>5</v>
      </c>
      <c r="J95" t="s">
        <v>136</v>
      </c>
    </row>
    <row r="96" spans="1:10" x14ac:dyDescent="0.3">
      <c r="A96" t="s">
        <v>77</v>
      </c>
      <c r="B96" s="32">
        <f>Summary!B182</f>
        <v>5</v>
      </c>
      <c r="C96" s="32">
        <f>Summary!C182</f>
        <v>4.2322274881516595</v>
      </c>
      <c r="D96" s="32">
        <f>Summary!D182</f>
        <v>2.333333333333333</v>
      </c>
      <c r="E96" s="32">
        <f>Summary!E182</f>
        <v>5</v>
      </c>
      <c r="F96" s="32">
        <f>Summary!F182</f>
        <v>3.8029678483099749</v>
      </c>
      <c r="G96" s="32">
        <f>Summary!G182</f>
        <v>5</v>
      </c>
      <c r="H96" s="32">
        <f>Summary!H182</f>
        <v>5</v>
      </c>
      <c r="I96" s="32">
        <f>Summary!I182</f>
        <v>1</v>
      </c>
      <c r="J96" t="s">
        <v>136</v>
      </c>
    </row>
    <row r="97" spans="1:10" x14ac:dyDescent="0.3">
      <c r="A97" t="s">
        <v>78</v>
      </c>
      <c r="B97" s="32">
        <f>Summary!B183</f>
        <v>1</v>
      </c>
      <c r="C97" s="32">
        <f>Summary!C183</f>
        <v>0</v>
      </c>
      <c r="D97" s="32">
        <f>Summary!D183</f>
        <v>3.666666666666667</v>
      </c>
      <c r="E97" s="32">
        <f>Summary!E183</f>
        <v>5</v>
      </c>
      <c r="F97" s="32">
        <f>Summary!F183</f>
        <v>3.7963726298433635</v>
      </c>
      <c r="G97" s="32">
        <f>Summary!G183</f>
        <v>1</v>
      </c>
      <c r="H97" s="32">
        <f>Summary!H183</f>
        <v>5</v>
      </c>
      <c r="I97" s="32">
        <f>Summary!I183</f>
        <v>3</v>
      </c>
      <c r="J97" t="s">
        <v>136</v>
      </c>
    </row>
    <row r="98" spans="1:10" x14ac:dyDescent="0.3">
      <c r="A98" t="s">
        <v>79</v>
      </c>
      <c r="B98" s="32">
        <f>Summary!B184</f>
        <v>3.6666666666666665</v>
      </c>
      <c r="C98" s="32">
        <f>Summary!C184</f>
        <v>5</v>
      </c>
      <c r="D98" s="32">
        <f>Summary!D184</f>
        <v>2.333333333333333</v>
      </c>
      <c r="E98" s="32">
        <f>Summary!E184</f>
        <v>5</v>
      </c>
      <c r="F98" s="32">
        <f>Summary!F184</f>
        <v>2.7774113767518549</v>
      </c>
      <c r="G98" s="32">
        <f>Summary!G184</f>
        <v>5</v>
      </c>
      <c r="H98" s="32">
        <f>Summary!H184</f>
        <v>5</v>
      </c>
      <c r="I98" s="32">
        <f>Summary!I184</f>
        <v>5</v>
      </c>
      <c r="J98" t="s">
        <v>136</v>
      </c>
    </row>
    <row r="99" spans="1:10" x14ac:dyDescent="0.3">
      <c r="A99" t="s">
        <v>80</v>
      </c>
      <c r="B99" s="32">
        <f>Summary!B185</f>
        <v>1</v>
      </c>
      <c r="C99" s="32">
        <f>Summary!C185</f>
        <v>1</v>
      </c>
      <c r="D99" s="32">
        <f>Summary!D185</f>
        <v>5</v>
      </c>
      <c r="E99" s="32">
        <f>Summary!E185</f>
        <v>5</v>
      </c>
      <c r="F99" s="32">
        <f>Summary!F185</f>
        <v>5</v>
      </c>
      <c r="G99" s="32">
        <f>Summary!G185</f>
        <v>5</v>
      </c>
      <c r="H99" s="32">
        <f>Summary!H185</f>
        <v>5</v>
      </c>
      <c r="I99" s="32">
        <f>Summary!I185</f>
        <v>5</v>
      </c>
      <c r="J99" t="s">
        <v>136</v>
      </c>
    </row>
    <row r="100" spans="1:10" x14ac:dyDescent="0.3">
      <c r="A100" t="s">
        <v>81</v>
      </c>
      <c r="B100" s="32">
        <f>Summary!B186</f>
        <v>5</v>
      </c>
      <c r="C100" s="32">
        <f>Summary!C186</f>
        <v>4.2322274881516595</v>
      </c>
      <c r="D100" s="32">
        <f>Summary!D186</f>
        <v>2.333333333333333</v>
      </c>
      <c r="E100" s="32">
        <f>Summary!E186</f>
        <v>5</v>
      </c>
      <c r="F100" s="32">
        <f>Summary!F186</f>
        <v>3.994229183841715</v>
      </c>
      <c r="G100" s="32">
        <f>Summary!G186</f>
        <v>4.8</v>
      </c>
      <c r="H100" s="32">
        <f>Summary!H186</f>
        <v>5</v>
      </c>
      <c r="I100" s="32">
        <f>Summary!I186</f>
        <v>5</v>
      </c>
      <c r="J100" t="s">
        <v>136</v>
      </c>
    </row>
    <row r="101" spans="1:10" x14ac:dyDescent="0.3">
      <c r="A101" t="s">
        <v>73</v>
      </c>
      <c r="B101" s="32">
        <f>Summary!B189</f>
        <v>5</v>
      </c>
      <c r="C101" s="32">
        <f>Summary!C189</f>
        <v>4.2322274881516595</v>
      </c>
      <c r="D101" s="32">
        <f>Summary!D189</f>
        <v>2.333333333333333</v>
      </c>
      <c r="E101" s="32">
        <f>Summary!E189</f>
        <v>5</v>
      </c>
      <c r="F101" s="32">
        <f>Summary!F189</f>
        <v>4.3001755412521945</v>
      </c>
      <c r="G101" s="32">
        <f>Summary!G189</f>
        <v>5</v>
      </c>
      <c r="H101" s="32">
        <f>Summary!H189</f>
        <v>1</v>
      </c>
      <c r="I101" s="32">
        <f>Summary!I189</f>
        <v>5</v>
      </c>
      <c r="J101" t="s">
        <v>137</v>
      </c>
    </row>
    <row r="102" spans="1:10" x14ac:dyDescent="0.3">
      <c r="A102" s="13" t="s">
        <v>74</v>
      </c>
      <c r="B102" s="32">
        <f>Summary!B190</f>
        <v>3.2222222222222219</v>
      </c>
      <c r="C102" s="32">
        <f>Summary!C190</f>
        <v>4.2322274881516595</v>
      </c>
      <c r="D102" s="32">
        <f>Summary!D190</f>
        <v>2.333333333333333</v>
      </c>
      <c r="E102" s="32">
        <f>Summary!E190</f>
        <v>5</v>
      </c>
      <c r="F102" s="32">
        <f>Summary!F190</f>
        <v>4.361029842012873</v>
      </c>
      <c r="G102" s="32">
        <f>Summary!G190</f>
        <v>5</v>
      </c>
      <c r="H102" s="32">
        <f>Summary!H190</f>
        <v>5</v>
      </c>
      <c r="I102" s="32">
        <f>Summary!I190</f>
        <v>5</v>
      </c>
      <c r="J102" t="s">
        <v>137</v>
      </c>
    </row>
    <row r="103" spans="1:10" x14ac:dyDescent="0.3">
      <c r="A103" t="s">
        <v>75</v>
      </c>
      <c r="B103" s="32">
        <f>Summary!B191</f>
        <v>5</v>
      </c>
      <c r="C103" s="32">
        <f>Summary!C191</f>
        <v>4.2322274881516595</v>
      </c>
      <c r="D103" s="32">
        <f>Summary!D191</f>
        <v>1</v>
      </c>
      <c r="E103" s="32">
        <f>Summary!E191</f>
        <v>1</v>
      </c>
      <c r="F103" s="32">
        <f>Summary!F191</f>
        <v>1</v>
      </c>
      <c r="G103" s="32">
        <f>Summary!G191</f>
        <v>5</v>
      </c>
      <c r="H103" s="32">
        <f>Summary!H191</f>
        <v>5</v>
      </c>
      <c r="I103" s="32">
        <f>Summary!I191</f>
        <v>5</v>
      </c>
      <c r="J103" t="s">
        <v>137</v>
      </c>
    </row>
    <row r="104" spans="1:10" x14ac:dyDescent="0.3">
      <c r="A104" t="s">
        <v>76</v>
      </c>
      <c r="B104" s="32">
        <f>Summary!B192</f>
        <v>5</v>
      </c>
      <c r="C104" s="32">
        <f>Summary!C192</f>
        <v>4.2322274881516595</v>
      </c>
      <c r="D104" s="32">
        <f>Summary!D192</f>
        <v>2.333333333333333</v>
      </c>
      <c r="E104" s="32">
        <f>Summary!E192</f>
        <v>5</v>
      </c>
      <c r="F104" s="32">
        <f>Summary!F192</f>
        <v>4.2135751901696903</v>
      </c>
      <c r="G104" s="32">
        <f>Summary!G192</f>
        <v>4.5999999999999996</v>
      </c>
      <c r="H104" s="32">
        <f>Summary!H192</f>
        <v>5</v>
      </c>
      <c r="I104" s="32">
        <f>Summary!I192</f>
        <v>5</v>
      </c>
      <c r="J104" t="s">
        <v>137</v>
      </c>
    </row>
    <row r="105" spans="1:10" x14ac:dyDescent="0.3">
      <c r="A105" t="s">
        <v>77</v>
      </c>
      <c r="B105" s="32">
        <f>Summary!B193</f>
        <v>5</v>
      </c>
      <c r="C105" s="32">
        <f>Summary!C193</f>
        <v>4.2322274881516595</v>
      </c>
      <c r="D105" s="32">
        <f>Summary!D193</f>
        <v>2.333333333333333</v>
      </c>
      <c r="E105" s="32">
        <f>Summary!E193</f>
        <v>3.666666666666667</v>
      </c>
      <c r="F105" s="32">
        <f>Summary!F193</f>
        <v>2.9894675248683442</v>
      </c>
      <c r="G105" s="32">
        <f>Summary!G193</f>
        <v>5</v>
      </c>
      <c r="H105" s="32">
        <f>Summary!H193</f>
        <v>5</v>
      </c>
      <c r="I105" s="32">
        <f>Summary!I193</f>
        <v>1</v>
      </c>
      <c r="J105" t="s">
        <v>137</v>
      </c>
    </row>
    <row r="106" spans="1:10" x14ac:dyDescent="0.3">
      <c r="A106" t="s">
        <v>78</v>
      </c>
      <c r="B106" s="32">
        <f>Summary!B194</f>
        <v>1</v>
      </c>
      <c r="C106" s="32">
        <f>Summary!C194</f>
        <v>0</v>
      </c>
      <c r="D106" s="32">
        <f>Summary!D194</f>
        <v>3.666666666666667</v>
      </c>
      <c r="E106" s="32">
        <f>Summary!E194</f>
        <v>5</v>
      </c>
      <c r="F106" s="32">
        <f>Summary!F194</f>
        <v>4.1456992393212406</v>
      </c>
      <c r="G106" s="32">
        <f>Summary!G194</f>
        <v>1</v>
      </c>
      <c r="H106" s="32">
        <f>Summary!H194</f>
        <v>5</v>
      </c>
      <c r="I106" s="32">
        <f>Summary!I194</f>
        <v>3</v>
      </c>
      <c r="J106" t="s">
        <v>137</v>
      </c>
    </row>
    <row r="107" spans="1:10" x14ac:dyDescent="0.3">
      <c r="A107" t="s">
        <v>79</v>
      </c>
      <c r="B107" s="32">
        <f>Summary!B195</f>
        <v>3.6666666666666665</v>
      </c>
      <c r="C107" s="32">
        <f>Summary!C195</f>
        <v>5</v>
      </c>
      <c r="D107" s="32">
        <f>Summary!D195</f>
        <v>1</v>
      </c>
      <c r="E107" s="32">
        <f>Summary!E195</f>
        <v>5</v>
      </c>
      <c r="F107" s="32">
        <f>Summary!F195</f>
        <v>3.3662960795787011</v>
      </c>
      <c r="G107" s="32">
        <f>Summary!G195</f>
        <v>5</v>
      </c>
      <c r="H107" s="32">
        <f>Summary!H195</f>
        <v>5</v>
      </c>
      <c r="I107" s="32">
        <f>Summary!I195</f>
        <v>5</v>
      </c>
      <c r="J107" t="s">
        <v>137</v>
      </c>
    </row>
    <row r="108" spans="1:10" x14ac:dyDescent="0.3">
      <c r="A108" t="s">
        <v>80</v>
      </c>
      <c r="B108" s="32">
        <f>Summary!B196</f>
        <v>1</v>
      </c>
      <c r="C108" s="32">
        <f>Summary!C196</f>
        <v>1</v>
      </c>
      <c r="D108" s="32">
        <f>Summary!D196</f>
        <v>5</v>
      </c>
      <c r="E108" s="32">
        <f>Summary!E196</f>
        <v>5</v>
      </c>
      <c r="F108" s="32">
        <f>Summary!F196</f>
        <v>5</v>
      </c>
      <c r="G108" s="32">
        <f>Summary!G196</f>
        <v>5</v>
      </c>
      <c r="H108" s="32">
        <f>Summary!H196</f>
        <v>5</v>
      </c>
      <c r="I108" s="32">
        <f>Summary!I196</f>
        <v>5</v>
      </c>
      <c r="J108" t="s">
        <v>137</v>
      </c>
    </row>
    <row r="109" spans="1:10" x14ac:dyDescent="0.3">
      <c r="A109" t="s">
        <v>81</v>
      </c>
      <c r="B109" s="32">
        <f>Summary!B197</f>
        <v>5</v>
      </c>
      <c r="C109" s="32">
        <f>Summary!C197</f>
        <v>4.2322274881516595</v>
      </c>
      <c r="D109" s="32">
        <f>Summary!D197</f>
        <v>2.333333333333333</v>
      </c>
      <c r="E109" s="32">
        <f>Summary!E197</f>
        <v>5</v>
      </c>
      <c r="F109" s="32">
        <f>Summary!F197</f>
        <v>4.2159157401989464</v>
      </c>
      <c r="G109" s="32">
        <f>Summary!G197</f>
        <v>4.8</v>
      </c>
      <c r="H109" s="32">
        <f>Summary!H197</f>
        <v>5</v>
      </c>
      <c r="I109" s="32">
        <f>Summary!I197</f>
        <v>5</v>
      </c>
      <c r="J109" t="s">
        <v>137</v>
      </c>
    </row>
    <row r="110" spans="1:10" x14ac:dyDescent="0.3">
      <c r="A110" t="s">
        <v>73</v>
      </c>
      <c r="B110" s="32">
        <f>Summary!B200</f>
        <v>5</v>
      </c>
      <c r="C110" s="32">
        <f>Summary!C200</f>
        <v>4.2322274881516595</v>
      </c>
      <c r="D110" s="32">
        <f>Summary!D200</f>
        <v>2.333333333333333</v>
      </c>
      <c r="E110" s="32">
        <f>Summary!E200</f>
        <v>5</v>
      </c>
      <c r="F110" s="32">
        <f>Summary!F200</f>
        <v>3.8133453561767361</v>
      </c>
      <c r="G110" s="32">
        <f>Summary!G200</f>
        <v>5</v>
      </c>
      <c r="H110" s="32">
        <f>Summary!H200</f>
        <v>1</v>
      </c>
      <c r="I110" s="32">
        <f>Summary!I200</f>
        <v>5</v>
      </c>
      <c r="J110" t="s">
        <v>138</v>
      </c>
    </row>
    <row r="111" spans="1:10" x14ac:dyDescent="0.3">
      <c r="A111" s="13" t="s">
        <v>74</v>
      </c>
      <c r="B111" s="32">
        <f>Summary!B201</f>
        <v>3.2222222222222219</v>
      </c>
      <c r="C111" s="32">
        <f>Summary!C201</f>
        <v>4.2322274881516595</v>
      </c>
      <c r="D111" s="32">
        <f>Summary!D201</f>
        <v>2.333333333333333</v>
      </c>
      <c r="E111" s="32">
        <f>Summary!E201</f>
        <v>5</v>
      </c>
      <c r="F111" s="32">
        <f>Summary!F201</f>
        <v>3.9071235347159607</v>
      </c>
      <c r="G111" s="32">
        <f>Summary!G201</f>
        <v>5</v>
      </c>
      <c r="H111" s="32">
        <f>Summary!H201</f>
        <v>5</v>
      </c>
      <c r="I111" s="32">
        <f>Summary!I201</f>
        <v>5</v>
      </c>
      <c r="J111" t="s">
        <v>138</v>
      </c>
    </row>
    <row r="112" spans="1:10" x14ac:dyDescent="0.3">
      <c r="A112" t="s">
        <v>75</v>
      </c>
      <c r="B112" s="32">
        <f>Summary!B202</f>
        <v>5</v>
      </c>
      <c r="C112" s="32">
        <f>Summary!C202</f>
        <v>4.2322274881516595</v>
      </c>
      <c r="D112" s="32">
        <f>Summary!D202</f>
        <v>1</v>
      </c>
      <c r="E112" s="32">
        <f>Summary!E202</f>
        <v>1</v>
      </c>
      <c r="F112" s="32">
        <f>Summary!F202</f>
        <v>1</v>
      </c>
      <c r="G112" s="32">
        <f>Summary!G202</f>
        <v>5</v>
      </c>
      <c r="H112" s="32">
        <f>Summary!H202</f>
        <v>5</v>
      </c>
      <c r="I112" s="32">
        <f>Summary!I202</f>
        <v>5</v>
      </c>
      <c r="J112" t="s">
        <v>138</v>
      </c>
    </row>
    <row r="113" spans="1:10" x14ac:dyDescent="0.3">
      <c r="A113" t="s">
        <v>76</v>
      </c>
      <c r="B113" s="32">
        <f>Summary!B203</f>
        <v>5</v>
      </c>
      <c r="C113" s="32">
        <f>Summary!C203</f>
        <v>4.2322274881516595</v>
      </c>
      <c r="D113" s="32">
        <f>Summary!D203</f>
        <v>3.666666666666667</v>
      </c>
      <c r="E113" s="32">
        <f>Summary!E203</f>
        <v>5</v>
      </c>
      <c r="F113" s="32">
        <f>Summary!F203</f>
        <v>4.6284941388638412</v>
      </c>
      <c r="G113" s="32">
        <f>Summary!G203</f>
        <v>4.5999999999999996</v>
      </c>
      <c r="H113" s="32">
        <f>Summary!H203</f>
        <v>5</v>
      </c>
      <c r="I113" s="32">
        <f>Summary!I203</f>
        <v>5</v>
      </c>
      <c r="J113" t="s">
        <v>138</v>
      </c>
    </row>
    <row r="114" spans="1:10" x14ac:dyDescent="0.3">
      <c r="A114" t="s">
        <v>77</v>
      </c>
      <c r="B114" s="32">
        <f>Summary!B204</f>
        <v>5</v>
      </c>
      <c r="C114" s="32">
        <f>Summary!C204</f>
        <v>4.2322274881516595</v>
      </c>
      <c r="D114" s="32">
        <f>Summary!D204</f>
        <v>2.333333333333333</v>
      </c>
      <c r="E114" s="32">
        <f>Summary!E204</f>
        <v>5</v>
      </c>
      <c r="F114" s="32">
        <f>Summary!F204</f>
        <v>4.0658250676284942</v>
      </c>
      <c r="G114" s="32">
        <f>Summary!G204</f>
        <v>5</v>
      </c>
      <c r="H114" s="32">
        <f>Summary!H204</f>
        <v>5</v>
      </c>
      <c r="I114" s="32">
        <f>Summary!I204</f>
        <v>1</v>
      </c>
      <c r="J114" t="s">
        <v>138</v>
      </c>
    </row>
    <row r="115" spans="1:10" x14ac:dyDescent="0.3">
      <c r="A115" t="s">
        <v>78</v>
      </c>
      <c r="B115" s="32">
        <f>Summary!B205</f>
        <v>1</v>
      </c>
      <c r="C115" s="32">
        <f>Summary!C205</f>
        <v>0</v>
      </c>
      <c r="D115" s="32">
        <f>Summary!D205</f>
        <v>3.666666666666667</v>
      </c>
      <c r="E115" s="32">
        <f>Summary!E205</f>
        <v>5</v>
      </c>
      <c r="F115" s="32">
        <f>Summary!F205</f>
        <v>3.6834986474301177</v>
      </c>
      <c r="G115" s="32">
        <f>Summary!G205</f>
        <v>1</v>
      </c>
      <c r="H115" s="32">
        <f>Summary!H205</f>
        <v>5</v>
      </c>
      <c r="I115" s="32">
        <f>Summary!I205</f>
        <v>3</v>
      </c>
      <c r="J115" t="s">
        <v>138</v>
      </c>
    </row>
    <row r="116" spans="1:10" x14ac:dyDescent="0.3">
      <c r="A116" t="s">
        <v>79</v>
      </c>
      <c r="B116" s="32">
        <f>Summary!B206</f>
        <v>3.6666666666666665</v>
      </c>
      <c r="C116" s="32">
        <f>Summary!C206</f>
        <v>5</v>
      </c>
      <c r="D116" s="32">
        <f>Summary!D206</f>
        <v>1</v>
      </c>
      <c r="E116" s="32">
        <f>Summary!E206</f>
        <v>5</v>
      </c>
      <c r="F116" s="32">
        <f>Summary!F206</f>
        <v>2.3958521190261499</v>
      </c>
      <c r="G116" s="32">
        <f>Summary!G206</f>
        <v>5</v>
      </c>
      <c r="H116" s="32">
        <f>Summary!H206</f>
        <v>5</v>
      </c>
      <c r="I116" s="32">
        <f>Summary!I206</f>
        <v>5</v>
      </c>
      <c r="J116" t="s">
        <v>138</v>
      </c>
    </row>
    <row r="117" spans="1:10" x14ac:dyDescent="0.3">
      <c r="A117" t="s">
        <v>80</v>
      </c>
      <c r="B117" s="32">
        <f>Summary!B207</f>
        <v>1</v>
      </c>
      <c r="C117" s="32">
        <f>Summary!C207</f>
        <v>1</v>
      </c>
      <c r="D117" s="32">
        <f>Summary!D207</f>
        <v>5</v>
      </c>
      <c r="E117" s="32">
        <f>Summary!E207</f>
        <v>5</v>
      </c>
      <c r="F117" s="32">
        <f>Summary!F207</f>
        <v>5</v>
      </c>
      <c r="G117" s="32">
        <f>Summary!G207</f>
        <v>5</v>
      </c>
      <c r="H117" s="32">
        <f>Summary!H207</f>
        <v>5</v>
      </c>
      <c r="I117" s="32">
        <f>Summary!I207</f>
        <v>5</v>
      </c>
      <c r="J117" t="s">
        <v>138</v>
      </c>
    </row>
    <row r="118" spans="1:10" x14ac:dyDescent="0.3">
      <c r="A118" t="s">
        <v>81</v>
      </c>
      <c r="B118" s="32">
        <f>Summary!B208</f>
        <v>5</v>
      </c>
      <c r="C118" s="32">
        <f>Summary!C208</f>
        <v>4.2322274881516595</v>
      </c>
      <c r="D118" s="32">
        <f>Summary!D208</f>
        <v>2.333333333333333</v>
      </c>
      <c r="E118" s="32">
        <f>Summary!E208</f>
        <v>5</v>
      </c>
      <c r="F118" s="32">
        <f>Summary!F208</f>
        <v>4.0189359783588818</v>
      </c>
      <c r="G118" s="32">
        <f>Summary!G208</f>
        <v>4.8</v>
      </c>
      <c r="H118" s="32">
        <f>Summary!H208</f>
        <v>5</v>
      </c>
      <c r="I118" s="32">
        <f>Summary!I208</f>
        <v>5</v>
      </c>
      <c r="J118" t="s">
        <v>138</v>
      </c>
    </row>
    <row r="119" spans="1:10" x14ac:dyDescent="0.3">
      <c r="A119" t="s">
        <v>73</v>
      </c>
      <c r="B119" s="32">
        <f>Summary!B211</f>
        <v>5</v>
      </c>
      <c r="C119" s="32">
        <f>Summary!C211</f>
        <v>4.2322274881516595</v>
      </c>
      <c r="D119" s="32">
        <f>Summary!D211</f>
        <v>2.333333333333333</v>
      </c>
      <c r="E119" s="32">
        <f>Summary!E211</f>
        <v>5</v>
      </c>
      <c r="F119" s="32">
        <f>Summary!F211</f>
        <v>3.3774011299435029</v>
      </c>
      <c r="G119" s="32">
        <f>Summary!G211</f>
        <v>5</v>
      </c>
      <c r="H119" s="32">
        <f>Summary!H211</f>
        <v>1</v>
      </c>
      <c r="I119" s="32">
        <f>Summary!I211</f>
        <v>5</v>
      </c>
      <c r="J119" t="s">
        <v>139</v>
      </c>
    </row>
    <row r="120" spans="1:10" x14ac:dyDescent="0.3">
      <c r="A120" s="13" t="s">
        <v>74</v>
      </c>
      <c r="B120" s="32">
        <f>Summary!B212</f>
        <v>3.2222222222222219</v>
      </c>
      <c r="C120" s="32">
        <f>Summary!C212</f>
        <v>4.298578199052133</v>
      </c>
      <c r="D120" s="32">
        <f>Summary!D212</f>
        <v>3.666666666666667</v>
      </c>
      <c r="E120" s="32">
        <f>Summary!E212</f>
        <v>5</v>
      </c>
      <c r="F120" s="32">
        <f>Summary!F212</f>
        <v>3.3502824858757068</v>
      </c>
      <c r="G120" s="32">
        <f>Summary!G212</f>
        <v>5</v>
      </c>
      <c r="H120" s="32">
        <f>Summary!H212</f>
        <v>5</v>
      </c>
      <c r="I120" s="32">
        <f>Summary!I212</f>
        <v>5</v>
      </c>
      <c r="J120" t="s">
        <v>139</v>
      </c>
    </row>
    <row r="121" spans="1:10" x14ac:dyDescent="0.3">
      <c r="A121" t="s">
        <v>75</v>
      </c>
      <c r="B121" s="32">
        <f>Summary!B213</f>
        <v>5</v>
      </c>
      <c r="C121" s="32">
        <f>Summary!C213</f>
        <v>4.2322274881516595</v>
      </c>
      <c r="D121" s="32">
        <f>Summary!D213</f>
        <v>2.333333333333333</v>
      </c>
      <c r="E121" s="32">
        <f>Summary!E213</f>
        <v>1</v>
      </c>
      <c r="F121" s="32">
        <f>Summary!F213</f>
        <v>1</v>
      </c>
      <c r="G121" s="32">
        <f>Summary!G213</f>
        <v>5</v>
      </c>
      <c r="H121" s="32">
        <f>Summary!H213</f>
        <v>5</v>
      </c>
      <c r="I121" s="32">
        <f>Summary!I213</f>
        <v>5</v>
      </c>
      <c r="J121" t="s">
        <v>139</v>
      </c>
    </row>
    <row r="122" spans="1:10" x14ac:dyDescent="0.3">
      <c r="A122" t="s">
        <v>76</v>
      </c>
      <c r="B122" s="32">
        <f>Summary!B214</f>
        <v>5</v>
      </c>
      <c r="C122" s="32">
        <f>Summary!C214</f>
        <v>4.2322274881516595</v>
      </c>
      <c r="D122" s="32">
        <f>Summary!D214</f>
        <v>2.333333333333333</v>
      </c>
      <c r="E122" s="32">
        <f>Summary!E214</f>
        <v>5</v>
      </c>
      <c r="F122" s="32">
        <f>Summary!F214</f>
        <v>4.4169491525423732</v>
      </c>
      <c r="G122" s="32">
        <f>Summary!G214</f>
        <v>4.5999999999999996</v>
      </c>
      <c r="H122" s="32">
        <f>Summary!H214</f>
        <v>5</v>
      </c>
      <c r="I122" s="32">
        <f>Summary!I214</f>
        <v>5</v>
      </c>
      <c r="J122" t="s">
        <v>139</v>
      </c>
    </row>
    <row r="123" spans="1:10" x14ac:dyDescent="0.3">
      <c r="A123" t="s">
        <v>77</v>
      </c>
      <c r="B123" s="32">
        <f>Summary!B215</f>
        <v>5</v>
      </c>
      <c r="C123" s="32">
        <f>Summary!C215</f>
        <v>4.2322274881516595</v>
      </c>
      <c r="D123" s="32">
        <f>Summary!D215</f>
        <v>3.666666666666667</v>
      </c>
      <c r="E123" s="32">
        <f>Summary!E215</f>
        <v>5</v>
      </c>
      <c r="F123" s="32">
        <f>Summary!F215</f>
        <v>4.8418079096045199</v>
      </c>
      <c r="G123" s="32">
        <f>Summary!G215</f>
        <v>5</v>
      </c>
      <c r="H123" s="32">
        <f>Summary!H215</f>
        <v>5</v>
      </c>
      <c r="I123" s="32">
        <f>Summary!I215</f>
        <v>1</v>
      </c>
      <c r="J123" t="s">
        <v>139</v>
      </c>
    </row>
    <row r="124" spans="1:10" x14ac:dyDescent="0.3">
      <c r="A124" t="s">
        <v>78</v>
      </c>
      <c r="B124" s="32">
        <f>Summary!B216</f>
        <v>1</v>
      </c>
      <c r="C124" s="32">
        <f>Summary!C216</f>
        <v>0</v>
      </c>
      <c r="D124" s="32">
        <f>Summary!D216</f>
        <v>3.666666666666667</v>
      </c>
      <c r="E124" s="32">
        <f>Summary!E216</f>
        <v>5</v>
      </c>
      <c r="F124" s="32">
        <f>Summary!F216</f>
        <v>3.3502824858757068</v>
      </c>
      <c r="G124" s="32">
        <f>Summary!G216</f>
        <v>1</v>
      </c>
      <c r="H124" s="32">
        <f>Summary!H216</f>
        <v>5</v>
      </c>
      <c r="I124" s="32">
        <f>Summary!I216</f>
        <v>3</v>
      </c>
      <c r="J124" t="s">
        <v>139</v>
      </c>
    </row>
    <row r="125" spans="1:10" x14ac:dyDescent="0.3">
      <c r="A125" t="s">
        <v>79</v>
      </c>
      <c r="B125" s="32">
        <f>Summary!B217</f>
        <v>3.6666666666666665</v>
      </c>
      <c r="C125" s="32">
        <f>Summary!C217</f>
        <v>5</v>
      </c>
      <c r="D125" s="32">
        <f>Summary!D217</f>
        <v>1</v>
      </c>
      <c r="E125" s="32">
        <f>Summary!E217</f>
        <v>5</v>
      </c>
      <c r="F125" s="32">
        <f>Summary!F217</f>
        <v>1.5107344632768362</v>
      </c>
      <c r="G125" s="32">
        <f>Summary!G217</f>
        <v>5</v>
      </c>
      <c r="H125" s="32">
        <f>Summary!H217</f>
        <v>5</v>
      </c>
      <c r="I125" s="32">
        <f>Summary!I217</f>
        <v>5</v>
      </c>
      <c r="J125" t="s">
        <v>139</v>
      </c>
    </row>
    <row r="126" spans="1:10" x14ac:dyDescent="0.3">
      <c r="A126" t="s">
        <v>80</v>
      </c>
      <c r="B126" s="32">
        <f>Summary!B218</f>
        <v>1</v>
      </c>
      <c r="C126" s="32">
        <f>Summary!C218</f>
        <v>1</v>
      </c>
      <c r="D126" s="32">
        <f>Summary!D218</f>
        <v>5</v>
      </c>
      <c r="E126" s="32">
        <f>Summary!E218</f>
        <v>5</v>
      </c>
      <c r="F126" s="32">
        <f>Summary!F218</f>
        <v>5</v>
      </c>
      <c r="G126" s="32">
        <f>Summary!G218</f>
        <v>5</v>
      </c>
      <c r="H126" s="32">
        <f>Summary!H218</f>
        <v>5</v>
      </c>
      <c r="I126" s="32">
        <f>Summary!I218</f>
        <v>5</v>
      </c>
      <c r="J126" t="s">
        <v>139</v>
      </c>
    </row>
    <row r="127" spans="1:10" x14ac:dyDescent="0.3">
      <c r="A127" t="s">
        <v>81</v>
      </c>
      <c r="B127" s="32">
        <f>Summary!B219</f>
        <v>5</v>
      </c>
      <c r="C127" s="32">
        <f>Summary!C219</f>
        <v>4.2322274881516595</v>
      </c>
      <c r="D127" s="32">
        <f>Summary!D219</f>
        <v>2.333333333333333</v>
      </c>
      <c r="E127" s="32">
        <f>Summary!E219</f>
        <v>5</v>
      </c>
      <c r="F127" s="32">
        <f>Summary!F219</f>
        <v>3.6531073446327689</v>
      </c>
      <c r="G127" s="32">
        <f>Summary!G219</f>
        <v>4.8</v>
      </c>
      <c r="H127" s="32">
        <f>Summary!H219</f>
        <v>5</v>
      </c>
      <c r="I127" s="32">
        <f>Summary!I219</f>
        <v>5</v>
      </c>
      <c r="J127" t="s">
        <v>139</v>
      </c>
    </row>
    <row r="128" spans="1:10" x14ac:dyDescent="0.3">
      <c r="A128" t="s">
        <v>73</v>
      </c>
      <c r="B128" s="32">
        <f>Summary!B222</f>
        <v>5</v>
      </c>
      <c r="C128" s="32">
        <f>Summary!C222</f>
        <v>1</v>
      </c>
      <c r="D128" s="32">
        <f>Summary!D222</f>
        <v>5</v>
      </c>
      <c r="E128" s="32">
        <f>Summary!E222</f>
        <v>5</v>
      </c>
      <c r="F128" s="32">
        <f>Summary!F222</f>
        <v>4.6705882352941179</v>
      </c>
      <c r="G128" s="32">
        <f>Summary!G222</f>
        <v>5</v>
      </c>
      <c r="H128" s="32">
        <f>Summary!H222</f>
        <v>1</v>
      </c>
      <c r="I128" s="32">
        <f>Summary!I222</f>
        <v>5</v>
      </c>
      <c r="J128" t="s">
        <v>140</v>
      </c>
    </row>
    <row r="129" spans="1:10" x14ac:dyDescent="0.3">
      <c r="A129" s="13" t="s">
        <v>74</v>
      </c>
      <c r="B129" s="32">
        <f>Summary!B223</f>
        <v>3.2222222222222219</v>
      </c>
      <c r="C129" s="32">
        <f>Summary!C223</f>
        <v>1</v>
      </c>
      <c r="D129" s="32">
        <f>Summary!D223</f>
        <v>5</v>
      </c>
      <c r="E129" s="32">
        <f>Summary!E223</f>
        <v>5</v>
      </c>
      <c r="F129" s="32">
        <f>Summary!F223</f>
        <v>5</v>
      </c>
      <c r="G129" s="32">
        <f>Summary!G223</f>
        <v>5</v>
      </c>
      <c r="H129" s="32">
        <f>Summary!H223</f>
        <v>5</v>
      </c>
      <c r="I129" s="32">
        <f>Summary!I223</f>
        <v>5</v>
      </c>
      <c r="J129" t="s">
        <v>140</v>
      </c>
    </row>
    <row r="130" spans="1:10" x14ac:dyDescent="0.3">
      <c r="A130" t="s">
        <v>75</v>
      </c>
      <c r="B130" s="32">
        <f>Summary!B224</f>
        <v>5</v>
      </c>
      <c r="C130" s="32">
        <f>Summary!C224</f>
        <v>1</v>
      </c>
      <c r="D130" s="32">
        <f>Summary!D224</f>
        <v>1</v>
      </c>
      <c r="E130" s="32">
        <f>Summary!E224</f>
        <v>1</v>
      </c>
      <c r="F130" s="32">
        <f>Summary!F224</f>
        <v>1</v>
      </c>
      <c r="G130" s="32">
        <f>Summary!G224</f>
        <v>5</v>
      </c>
      <c r="H130" s="32">
        <f>Summary!H224</f>
        <v>5</v>
      </c>
      <c r="I130" s="32">
        <f>Summary!I224</f>
        <v>5</v>
      </c>
      <c r="J130" t="s">
        <v>140</v>
      </c>
    </row>
    <row r="131" spans="1:10" x14ac:dyDescent="0.3">
      <c r="A131" t="s">
        <v>76</v>
      </c>
      <c r="B131" s="32">
        <f>Summary!B225</f>
        <v>5</v>
      </c>
      <c r="C131" s="32">
        <f>Summary!C225</f>
        <v>4.92619926199262</v>
      </c>
      <c r="D131" s="32">
        <f>Summary!D225</f>
        <v>1</v>
      </c>
      <c r="E131" s="32">
        <f>Summary!E225</f>
        <v>5</v>
      </c>
      <c r="F131" s="32">
        <f>Summary!F225</f>
        <v>4.054117647058824</v>
      </c>
      <c r="G131" s="32">
        <f>Summary!G225</f>
        <v>4.5999999999999996</v>
      </c>
      <c r="H131" s="32">
        <f>Summary!H225</f>
        <v>5</v>
      </c>
      <c r="I131" s="32">
        <f>Summary!I225</f>
        <v>5</v>
      </c>
      <c r="J131" t="s">
        <v>140</v>
      </c>
    </row>
    <row r="132" spans="1:10" x14ac:dyDescent="0.3">
      <c r="A132" t="s">
        <v>77</v>
      </c>
      <c r="B132" s="32">
        <f>Summary!B226</f>
        <v>5</v>
      </c>
      <c r="C132" s="32">
        <f>Summary!C226</f>
        <v>1</v>
      </c>
      <c r="D132" s="32">
        <f>Summary!D226</f>
        <v>5</v>
      </c>
      <c r="E132" s="32">
        <f>Summary!E226</f>
        <v>5</v>
      </c>
      <c r="F132" s="32">
        <f>Summary!F226</f>
        <v>5</v>
      </c>
      <c r="G132" s="32">
        <f>Summary!G226</f>
        <v>5</v>
      </c>
      <c r="H132" s="32">
        <f>Summary!H226</f>
        <v>5</v>
      </c>
      <c r="I132" s="32">
        <f>Summary!I226</f>
        <v>1</v>
      </c>
      <c r="J132" t="s">
        <v>140</v>
      </c>
    </row>
    <row r="133" spans="1:10" x14ac:dyDescent="0.3">
      <c r="A133" t="s">
        <v>78</v>
      </c>
      <c r="B133" s="32">
        <f>Summary!B227</f>
        <v>1</v>
      </c>
      <c r="C133" s="32">
        <f>Summary!C227</f>
        <v>0</v>
      </c>
      <c r="D133" s="32">
        <f>Summary!D227</f>
        <v>5</v>
      </c>
      <c r="E133" s="32">
        <f>Summary!E227</f>
        <v>5</v>
      </c>
      <c r="F133" s="32">
        <f>Summary!F227</f>
        <v>5</v>
      </c>
      <c r="G133" s="32">
        <f>Summary!G227</f>
        <v>1</v>
      </c>
      <c r="H133" s="32">
        <f>Summary!H227</f>
        <v>5</v>
      </c>
      <c r="I133" s="32">
        <f>Summary!I227</f>
        <v>3</v>
      </c>
      <c r="J133" t="s">
        <v>140</v>
      </c>
    </row>
    <row r="134" spans="1:10" x14ac:dyDescent="0.3">
      <c r="A134" t="s">
        <v>79</v>
      </c>
      <c r="B134" s="32">
        <f>Summary!B228</f>
        <v>3.6666666666666665</v>
      </c>
      <c r="C134" s="32">
        <f>Summary!C228</f>
        <v>1.0738007380073813</v>
      </c>
      <c r="D134" s="32">
        <f>Summary!D228</f>
        <v>1</v>
      </c>
      <c r="E134" s="32">
        <f>Summary!E228</f>
        <v>5</v>
      </c>
      <c r="F134" s="32">
        <f>Summary!F228</f>
        <v>2.5764705882352947</v>
      </c>
      <c r="G134" s="32">
        <f>Summary!G228</f>
        <v>5</v>
      </c>
      <c r="H134" s="32">
        <f>Summary!H228</f>
        <v>5</v>
      </c>
      <c r="I134" s="32">
        <f>Summary!I228</f>
        <v>5</v>
      </c>
      <c r="J134" t="s">
        <v>140</v>
      </c>
    </row>
    <row r="135" spans="1:10" x14ac:dyDescent="0.3">
      <c r="A135" t="s">
        <v>80</v>
      </c>
      <c r="B135" s="32">
        <f>Summary!B229</f>
        <v>1</v>
      </c>
      <c r="C135" s="32">
        <f>Summary!C229</f>
        <v>1</v>
      </c>
      <c r="D135" s="32">
        <f>Summary!D229</f>
        <v>5</v>
      </c>
      <c r="E135" s="32">
        <f>Summary!E229</f>
        <v>5</v>
      </c>
      <c r="F135" s="32">
        <f>Summary!F229</f>
        <v>5</v>
      </c>
      <c r="G135" s="32">
        <f>Summary!G229</f>
        <v>5</v>
      </c>
      <c r="H135" s="32">
        <f>Summary!H229</f>
        <v>5</v>
      </c>
      <c r="I135" s="32">
        <f>Summary!I229</f>
        <v>5</v>
      </c>
      <c r="J135" t="s">
        <v>140</v>
      </c>
    </row>
    <row r="136" spans="1:10" x14ac:dyDescent="0.3">
      <c r="A136" t="s">
        <v>81</v>
      </c>
      <c r="B136" s="32">
        <f>Summary!B230</f>
        <v>5</v>
      </c>
      <c r="C136" s="32">
        <f>Summary!C230</f>
        <v>5</v>
      </c>
      <c r="D136" s="32">
        <f>Summary!D230</f>
        <v>1</v>
      </c>
      <c r="E136" s="32">
        <f>Summary!E230</f>
        <v>5</v>
      </c>
      <c r="F136" s="32">
        <f>Summary!F230</f>
        <v>4.0729411764705885</v>
      </c>
      <c r="G136" s="32">
        <f>Summary!G230</f>
        <v>4.8</v>
      </c>
      <c r="H136" s="32">
        <f>Summary!H230</f>
        <v>5</v>
      </c>
      <c r="I136" s="32">
        <f>Summary!I230</f>
        <v>5</v>
      </c>
      <c r="J136" t="s">
        <v>140</v>
      </c>
    </row>
    <row r="137" spans="1:10" x14ac:dyDescent="0.3">
      <c r="A137" t="s">
        <v>73</v>
      </c>
      <c r="B137" s="32">
        <f>Summary!B233</f>
        <v>5</v>
      </c>
      <c r="C137" s="32">
        <f>Summary!C233</f>
        <v>5</v>
      </c>
      <c r="D137" s="32">
        <f>Summary!D233</f>
        <v>5</v>
      </c>
      <c r="E137" s="32">
        <f>Summary!E233</f>
        <v>5</v>
      </c>
      <c r="F137" s="32">
        <f>Summary!F233</f>
        <v>4.6705882352941179</v>
      </c>
      <c r="G137" s="32">
        <f>Summary!G233</f>
        <v>5</v>
      </c>
      <c r="H137" s="32">
        <f>Summary!H233</f>
        <v>1</v>
      </c>
      <c r="I137" s="32">
        <f>Summary!I233</f>
        <v>5</v>
      </c>
      <c r="J137" t="s">
        <v>141</v>
      </c>
    </row>
    <row r="138" spans="1:10" x14ac:dyDescent="0.3">
      <c r="A138" s="13" t="s">
        <v>74</v>
      </c>
      <c r="B138" s="32">
        <f>Summary!B234</f>
        <v>3.2222222222222219</v>
      </c>
      <c r="C138" s="32">
        <f>Summary!C234</f>
        <v>5</v>
      </c>
      <c r="D138" s="32">
        <f>Summary!D234</f>
        <v>5</v>
      </c>
      <c r="E138" s="32">
        <f>Summary!E234</f>
        <v>5</v>
      </c>
      <c r="F138" s="32">
        <f>Summary!F234</f>
        <v>5</v>
      </c>
      <c r="G138" s="32">
        <f>Summary!G234</f>
        <v>5</v>
      </c>
      <c r="H138" s="32">
        <f>Summary!H234</f>
        <v>5</v>
      </c>
      <c r="I138" s="32">
        <f>Summary!I234</f>
        <v>5</v>
      </c>
      <c r="J138" t="s">
        <v>141</v>
      </c>
    </row>
    <row r="139" spans="1:10" x14ac:dyDescent="0.3">
      <c r="A139" t="s">
        <v>75</v>
      </c>
      <c r="B139" s="32">
        <f>Summary!B235</f>
        <v>5</v>
      </c>
      <c r="C139" s="32">
        <f>Summary!C235</f>
        <v>5</v>
      </c>
      <c r="D139" s="32">
        <f>Summary!D235</f>
        <v>1</v>
      </c>
      <c r="E139" s="32">
        <f>Summary!E235</f>
        <v>1</v>
      </c>
      <c r="F139" s="32">
        <f>Summary!F235</f>
        <v>1</v>
      </c>
      <c r="G139" s="32">
        <f>Summary!G235</f>
        <v>5</v>
      </c>
      <c r="H139" s="32">
        <f>Summary!H235</f>
        <v>5</v>
      </c>
      <c r="I139" s="32">
        <f>Summary!I235</f>
        <v>5</v>
      </c>
      <c r="J139" t="s">
        <v>141</v>
      </c>
    </row>
    <row r="140" spans="1:10" x14ac:dyDescent="0.3">
      <c r="A140" t="s">
        <v>76</v>
      </c>
      <c r="B140" s="32">
        <f>Summary!B236</f>
        <v>5</v>
      </c>
      <c r="C140" s="32">
        <f>Summary!C236</f>
        <v>5</v>
      </c>
      <c r="D140" s="32">
        <f>Summary!D236</f>
        <v>5</v>
      </c>
      <c r="E140" s="32">
        <f>Summary!E236</f>
        <v>5</v>
      </c>
      <c r="F140" s="32">
        <f>Summary!F236</f>
        <v>5</v>
      </c>
      <c r="G140" s="32">
        <f>Summary!G236</f>
        <v>4.5999999999999996</v>
      </c>
      <c r="H140" s="32">
        <f>Summary!H236</f>
        <v>5</v>
      </c>
      <c r="I140" s="32">
        <f>Summary!I236</f>
        <v>5</v>
      </c>
      <c r="J140" t="s">
        <v>141</v>
      </c>
    </row>
    <row r="141" spans="1:10" x14ac:dyDescent="0.3">
      <c r="A141" t="s">
        <v>77</v>
      </c>
      <c r="B141" s="32">
        <f>Summary!B237</f>
        <v>5</v>
      </c>
      <c r="C141" s="32">
        <f>Summary!C237</f>
        <v>5</v>
      </c>
      <c r="D141" s="32">
        <f>Summary!D237</f>
        <v>5</v>
      </c>
      <c r="E141" s="32">
        <f>Summary!E237</f>
        <v>5</v>
      </c>
      <c r="F141" s="32">
        <f>Summary!F237</f>
        <v>5</v>
      </c>
      <c r="G141" s="32">
        <f>Summary!G237</f>
        <v>5</v>
      </c>
      <c r="H141" s="32">
        <f>Summary!H237</f>
        <v>5</v>
      </c>
      <c r="I141" s="32">
        <f>Summary!I237</f>
        <v>1</v>
      </c>
      <c r="J141" t="s">
        <v>141</v>
      </c>
    </row>
    <row r="142" spans="1:10" x14ac:dyDescent="0.3">
      <c r="A142" t="s">
        <v>78</v>
      </c>
      <c r="B142" s="32">
        <f>Summary!B238</f>
        <v>1</v>
      </c>
      <c r="C142" s="32">
        <f>Summary!C238</f>
        <v>0</v>
      </c>
      <c r="D142" s="32">
        <f>Summary!D238</f>
        <v>5</v>
      </c>
      <c r="E142" s="32">
        <f>Summary!E238</f>
        <v>5</v>
      </c>
      <c r="F142" s="32">
        <f>Summary!F238</f>
        <v>5</v>
      </c>
      <c r="G142" s="32">
        <f>Summary!G238</f>
        <v>1</v>
      </c>
      <c r="H142" s="32">
        <f>Summary!H238</f>
        <v>5</v>
      </c>
      <c r="I142" s="32">
        <f>Summary!I238</f>
        <v>3</v>
      </c>
      <c r="J142" t="s">
        <v>141</v>
      </c>
    </row>
    <row r="143" spans="1:10" x14ac:dyDescent="0.3">
      <c r="A143" t="s">
        <v>79</v>
      </c>
      <c r="B143" s="32">
        <f>Summary!B239</f>
        <v>3.6666666666666665</v>
      </c>
      <c r="C143" s="32">
        <f>Summary!C239</f>
        <v>1</v>
      </c>
      <c r="D143" s="32">
        <f>Summary!D239</f>
        <v>1</v>
      </c>
      <c r="E143" s="32">
        <f>Summary!E239</f>
        <v>5</v>
      </c>
      <c r="F143" s="32">
        <f>Summary!F239</f>
        <v>1.0000000000000009</v>
      </c>
      <c r="G143" s="32">
        <f>Summary!G239</f>
        <v>5</v>
      </c>
      <c r="H143" s="32">
        <f>Summary!H239</f>
        <v>5</v>
      </c>
      <c r="I143" s="32">
        <f>Summary!I239</f>
        <v>5</v>
      </c>
      <c r="J143" t="s">
        <v>141</v>
      </c>
    </row>
    <row r="144" spans="1:10" x14ac:dyDescent="0.3">
      <c r="A144" t="s">
        <v>80</v>
      </c>
      <c r="B144" s="32">
        <f>Summary!B240</f>
        <v>1</v>
      </c>
      <c r="C144" s="32">
        <f>Summary!C240</f>
        <v>5</v>
      </c>
      <c r="D144" s="32">
        <f>Summary!D240</f>
        <v>5</v>
      </c>
      <c r="E144" s="32">
        <f>Summary!E240</f>
        <v>5</v>
      </c>
      <c r="F144" s="32">
        <f>Summary!F240</f>
        <v>5</v>
      </c>
      <c r="G144" s="32">
        <f>Summary!G240</f>
        <v>5</v>
      </c>
      <c r="H144" s="32">
        <f>Summary!H240</f>
        <v>5</v>
      </c>
      <c r="I144" s="32">
        <f>Summary!I240</f>
        <v>5</v>
      </c>
      <c r="J144" t="s">
        <v>141</v>
      </c>
    </row>
    <row r="145" spans="1:10" x14ac:dyDescent="0.3">
      <c r="A145" t="s">
        <v>81</v>
      </c>
      <c r="B145" s="32">
        <f>Summary!B241</f>
        <v>5</v>
      </c>
      <c r="C145" s="32">
        <f>Summary!C241</f>
        <v>5</v>
      </c>
      <c r="D145" s="32">
        <f>Summary!D241</f>
        <v>5</v>
      </c>
      <c r="E145" s="32">
        <f>Summary!E241</f>
        <v>5</v>
      </c>
      <c r="F145" s="32">
        <f>Summary!F241</f>
        <v>5</v>
      </c>
      <c r="G145" s="32">
        <f>Summary!G241</f>
        <v>4.8</v>
      </c>
      <c r="H145" s="32">
        <f>Summary!H241</f>
        <v>5</v>
      </c>
      <c r="I145" s="32">
        <f>Summary!I241</f>
        <v>5</v>
      </c>
      <c r="J145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Cancel Stop Hgl-Odz-Hgl</vt:lpstr>
      <vt:lpstr>ICE Waits</vt:lpstr>
      <vt:lpstr>Stop Waits</vt:lpstr>
      <vt:lpstr>Remove stop Hengelo</vt:lpstr>
      <vt:lpstr>Extra platform Hengelo</vt:lpstr>
      <vt:lpstr>Short-turn Hengelo</vt:lpstr>
      <vt:lpstr>Overtake Rijssen</vt:lpstr>
      <vt:lpstr>Alternative ICE Paths</vt:lpstr>
      <vt:lpstr>Stop Almelo</vt:lpstr>
      <vt:lpstr>Summary</vt:lpstr>
      <vt:lpstr>Python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 Juarez Overdevest</cp:lastModifiedBy>
  <cp:revision/>
  <dcterms:created xsi:type="dcterms:W3CDTF">2025-12-22T14:23:32Z</dcterms:created>
  <dcterms:modified xsi:type="dcterms:W3CDTF">2026-01-16T19:21:34Z</dcterms:modified>
  <cp:category/>
  <cp:contentStatus/>
</cp:coreProperties>
</file>