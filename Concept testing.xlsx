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ate1904="1"/>
  <mc:AlternateContent xmlns:mc="http://schemas.openxmlformats.org/markup-compatibility/2006">
    <mc:Choice Requires="x15">
      <x15ac:absPath xmlns:x15ac="http://schemas.microsoft.com/office/spreadsheetml/2010/11/ac" url="https://d.docs.live.net/647b0d43a9df03ff/Documenten/TU Delft/TIL/Design Project/TIL5050-Delayed-ICE-main/TIL5050-Delayed-ICE/"/>
    </mc:Choice>
  </mc:AlternateContent>
  <xr:revisionPtr revIDLastSave="6143" documentId="11_3D4F55BF84DCCE036F15A6DB9431F45B9AFF0E61" xr6:coauthVersionLast="47" xr6:coauthVersionMax="47" xr10:uidLastSave="{4007F899-1BF5-4163-BF44-58C6FDC53700}"/>
  <bookViews>
    <workbookView xWindow="28680" yWindow="-120" windowWidth="29040" windowHeight="15720" firstSheet="11" activeTab="11" xr2:uid="{00000000-000D-0000-FFFF-FFFF00000000}"/>
  </bookViews>
  <sheets>
    <sheet name="Cancel Stop Hgl-Odz-Hgl" sheetId="1" r:id="rId1"/>
    <sheet name="ICE Waits" sheetId="2" r:id="rId2"/>
    <sheet name="Stop Waits" sheetId="3" r:id="rId3"/>
    <sheet name="Blad1" sheetId="13" r:id="rId4"/>
    <sheet name="Remove stop Hengelo" sheetId="4" r:id="rId5"/>
    <sheet name="Extra platform Hengelo" sheetId="5" r:id="rId6"/>
    <sheet name="Short-turn Hengelo" sheetId="6" r:id="rId7"/>
    <sheet name="Overtake Rijssen" sheetId="7" r:id="rId8"/>
    <sheet name="Alternative ICE Paths" sheetId="8" r:id="rId9"/>
    <sheet name="Stop Almelo" sheetId="10" r:id="rId10"/>
    <sheet name="BASE" sheetId="14" r:id="rId11"/>
    <sheet name="Summary" sheetId="9" r:id="rId12"/>
    <sheet name="Python" sheetId="11" r:id="rId13"/>
    <sheet name="Python2" sheetId="12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9" l="1"/>
  <c r="I2" i="12"/>
  <c r="H2" i="12"/>
  <c r="G2" i="12"/>
  <c r="F2" i="12"/>
  <c r="E2" i="12"/>
  <c r="D2" i="12"/>
  <c r="C2" i="12"/>
  <c r="B2" i="12"/>
  <c r="H243" i="9"/>
  <c r="H242" i="9"/>
  <c r="H241" i="9"/>
  <c r="H240" i="9"/>
  <c r="H239" i="9"/>
  <c r="H238" i="9"/>
  <c r="H237" i="9"/>
  <c r="H236" i="9"/>
  <c r="H235" i="9"/>
  <c r="H232" i="9"/>
  <c r="H231" i="9"/>
  <c r="H230" i="9"/>
  <c r="H229" i="9"/>
  <c r="H228" i="9"/>
  <c r="H227" i="9"/>
  <c r="H226" i="9"/>
  <c r="H225" i="9"/>
  <c r="H224" i="9"/>
  <c r="H221" i="9"/>
  <c r="H220" i="9"/>
  <c r="H219" i="9"/>
  <c r="H218" i="9"/>
  <c r="H217" i="9"/>
  <c r="H216" i="9"/>
  <c r="H215" i="9"/>
  <c r="H214" i="9"/>
  <c r="H213" i="9"/>
  <c r="H210" i="9"/>
  <c r="H209" i="9"/>
  <c r="H208" i="9"/>
  <c r="H207" i="9"/>
  <c r="H206" i="9"/>
  <c r="H205" i="9"/>
  <c r="H204" i="9"/>
  <c r="H203" i="9"/>
  <c r="H202" i="9"/>
  <c r="H199" i="9"/>
  <c r="H198" i="9"/>
  <c r="H197" i="9"/>
  <c r="H196" i="9"/>
  <c r="H195" i="9"/>
  <c r="H194" i="9"/>
  <c r="H193" i="9"/>
  <c r="H192" i="9"/>
  <c r="H191" i="9"/>
  <c r="H188" i="9"/>
  <c r="H187" i="9"/>
  <c r="H186" i="9"/>
  <c r="H185" i="9"/>
  <c r="H184" i="9"/>
  <c r="H183" i="9"/>
  <c r="H182" i="9"/>
  <c r="H181" i="9"/>
  <c r="H180" i="9"/>
  <c r="H177" i="9"/>
  <c r="H176" i="9"/>
  <c r="H175" i="9"/>
  <c r="H174" i="9"/>
  <c r="H173" i="9"/>
  <c r="H172" i="9"/>
  <c r="H171" i="9"/>
  <c r="H170" i="9"/>
  <c r="H169" i="9"/>
  <c r="H166" i="9"/>
  <c r="H165" i="9"/>
  <c r="H164" i="9"/>
  <c r="H163" i="9"/>
  <c r="H162" i="9"/>
  <c r="H161" i="9"/>
  <c r="H160" i="9"/>
  <c r="H159" i="9"/>
  <c r="H158" i="9"/>
  <c r="H155" i="9"/>
  <c r="H154" i="9"/>
  <c r="H153" i="9"/>
  <c r="H152" i="9"/>
  <c r="H151" i="9"/>
  <c r="H150" i="9"/>
  <c r="H149" i="9"/>
  <c r="H148" i="9"/>
  <c r="H147" i="9"/>
  <c r="H144" i="9"/>
  <c r="H143" i="9"/>
  <c r="H142" i="9"/>
  <c r="H141" i="9"/>
  <c r="H140" i="9"/>
  <c r="H139" i="9"/>
  <c r="H138" i="9"/>
  <c r="H137" i="9"/>
  <c r="H136" i="9"/>
  <c r="H133" i="9"/>
  <c r="H132" i="9"/>
  <c r="H131" i="9"/>
  <c r="H130" i="9"/>
  <c r="H129" i="9"/>
  <c r="H128" i="9"/>
  <c r="H127" i="9"/>
  <c r="H126" i="9"/>
  <c r="H125" i="9"/>
  <c r="H122" i="9"/>
  <c r="H121" i="9"/>
  <c r="H120" i="9"/>
  <c r="H119" i="9"/>
  <c r="H118" i="9"/>
  <c r="H117" i="9"/>
  <c r="H116" i="9"/>
  <c r="H115" i="9"/>
  <c r="H114" i="9"/>
  <c r="H111" i="9"/>
  <c r="H110" i="9"/>
  <c r="H109" i="9"/>
  <c r="H108" i="9"/>
  <c r="H107" i="9"/>
  <c r="H106" i="9"/>
  <c r="H105" i="9"/>
  <c r="H104" i="9"/>
  <c r="H103" i="9"/>
  <c r="H100" i="9"/>
  <c r="H99" i="9"/>
  <c r="H98" i="9"/>
  <c r="H97" i="9"/>
  <c r="H96" i="9"/>
  <c r="H95" i="9"/>
  <c r="H94" i="9"/>
  <c r="H93" i="9"/>
  <c r="H92" i="9"/>
  <c r="H89" i="9"/>
  <c r="H88" i="9"/>
  <c r="H87" i="9"/>
  <c r="H86" i="9"/>
  <c r="H85" i="9"/>
  <c r="H84" i="9"/>
  <c r="H83" i="9"/>
  <c r="H82" i="9"/>
  <c r="G243" i="9"/>
  <c r="G242" i="9"/>
  <c r="G241" i="9"/>
  <c r="G240" i="9"/>
  <c r="G239" i="9"/>
  <c r="G238" i="9"/>
  <c r="G237" i="9"/>
  <c r="G236" i="9"/>
  <c r="G235" i="9"/>
  <c r="G232" i="9"/>
  <c r="G231" i="9"/>
  <c r="G230" i="9"/>
  <c r="G229" i="9"/>
  <c r="G228" i="9"/>
  <c r="G227" i="9"/>
  <c r="G226" i="9"/>
  <c r="G225" i="9"/>
  <c r="G224" i="9"/>
  <c r="G221" i="9"/>
  <c r="G220" i="9"/>
  <c r="G219" i="9"/>
  <c r="G218" i="9"/>
  <c r="G217" i="9"/>
  <c r="G216" i="9"/>
  <c r="G215" i="9"/>
  <c r="G214" i="9"/>
  <c r="G213" i="9"/>
  <c r="G210" i="9"/>
  <c r="G209" i="9"/>
  <c r="G208" i="9"/>
  <c r="G207" i="9"/>
  <c r="G206" i="9"/>
  <c r="G205" i="9"/>
  <c r="G204" i="9"/>
  <c r="G203" i="9"/>
  <c r="G202" i="9"/>
  <c r="G199" i="9"/>
  <c r="G198" i="9"/>
  <c r="G197" i="9"/>
  <c r="G196" i="9"/>
  <c r="G195" i="9"/>
  <c r="G194" i="9"/>
  <c r="G193" i="9"/>
  <c r="G192" i="9"/>
  <c r="G191" i="9"/>
  <c r="G188" i="9"/>
  <c r="G187" i="9"/>
  <c r="G186" i="9"/>
  <c r="G185" i="9"/>
  <c r="G184" i="9"/>
  <c r="G183" i="9"/>
  <c r="G182" i="9"/>
  <c r="G181" i="9"/>
  <c r="G180" i="9"/>
  <c r="G177" i="9"/>
  <c r="G176" i="9"/>
  <c r="G175" i="9"/>
  <c r="G174" i="9"/>
  <c r="G173" i="9"/>
  <c r="G172" i="9"/>
  <c r="G171" i="9"/>
  <c r="G170" i="9"/>
  <c r="G169" i="9"/>
  <c r="G166" i="9"/>
  <c r="G165" i="9"/>
  <c r="G164" i="9"/>
  <c r="G163" i="9"/>
  <c r="G162" i="9"/>
  <c r="G161" i="9"/>
  <c r="G160" i="9"/>
  <c r="G159" i="9"/>
  <c r="G158" i="9"/>
  <c r="G155" i="9"/>
  <c r="G154" i="9"/>
  <c r="G153" i="9"/>
  <c r="G152" i="9"/>
  <c r="G151" i="9"/>
  <c r="G150" i="9"/>
  <c r="G149" i="9"/>
  <c r="G148" i="9"/>
  <c r="G147" i="9"/>
  <c r="G144" i="9"/>
  <c r="G143" i="9"/>
  <c r="G142" i="9"/>
  <c r="G141" i="9"/>
  <c r="G140" i="9"/>
  <c r="G139" i="9"/>
  <c r="G138" i="9"/>
  <c r="G137" i="9"/>
  <c r="G136" i="9"/>
  <c r="G133" i="9"/>
  <c r="G132" i="9"/>
  <c r="G131" i="9"/>
  <c r="G130" i="9"/>
  <c r="G129" i="9"/>
  <c r="G128" i="9"/>
  <c r="G127" i="9"/>
  <c r="G126" i="9"/>
  <c r="G125" i="9"/>
  <c r="G122" i="9"/>
  <c r="G121" i="9"/>
  <c r="G120" i="9"/>
  <c r="G119" i="9"/>
  <c r="G118" i="9"/>
  <c r="G117" i="9"/>
  <c r="G116" i="9"/>
  <c r="G115" i="9"/>
  <c r="G114" i="9"/>
  <c r="G111" i="9"/>
  <c r="G110" i="9"/>
  <c r="G109" i="9"/>
  <c r="G108" i="9"/>
  <c r="G107" i="9"/>
  <c r="G106" i="9"/>
  <c r="G105" i="9"/>
  <c r="G104" i="9"/>
  <c r="G103" i="9"/>
  <c r="G100" i="9"/>
  <c r="G99" i="9"/>
  <c r="G98" i="9"/>
  <c r="G97" i="9"/>
  <c r="G96" i="9"/>
  <c r="G95" i="9"/>
  <c r="G94" i="9"/>
  <c r="G93" i="9"/>
  <c r="G92" i="9"/>
  <c r="H81" i="9"/>
  <c r="G81" i="9"/>
  <c r="H70" i="9"/>
  <c r="H69" i="9"/>
  <c r="H78" i="9"/>
  <c r="H77" i="9"/>
  <c r="H76" i="9"/>
  <c r="H75" i="9"/>
  <c r="H74" i="9"/>
  <c r="H73" i="9"/>
  <c r="H72" i="9"/>
  <c r="H71" i="9"/>
  <c r="J69" i="9"/>
  <c r="G69" i="9"/>
  <c r="G89" i="9"/>
  <c r="G88" i="9"/>
  <c r="G87" i="9"/>
  <c r="G86" i="9"/>
  <c r="G85" i="9"/>
  <c r="G84" i="9"/>
  <c r="G83" i="9"/>
  <c r="G82" i="9"/>
  <c r="B81" i="9"/>
  <c r="G73" i="9"/>
  <c r="G78" i="9"/>
  <c r="G77" i="9"/>
  <c r="G76" i="9"/>
  <c r="G75" i="9"/>
  <c r="G74" i="9"/>
  <c r="G72" i="9"/>
  <c r="G71" i="9"/>
  <c r="G70" i="9"/>
  <c r="F243" i="9"/>
  <c r="F242" i="9"/>
  <c r="F241" i="9"/>
  <c r="F240" i="9"/>
  <c r="F239" i="9"/>
  <c r="F238" i="9"/>
  <c r="F237" i="9"/>
  <c r="F236" i="9"/>
  <c r="F232" i="9"/>
  <c r="F231" i="9"/>
  <c r="F230" i="9"/>
  <c r="F229" i="9"/>
  <c r="F228" i="9"/>
  <c r="F227" i="9"/>
  <c r="F226" i="9"/>
  <c r="F225" i="9"/>
  <c r="F221" i="9"/>
  <c r="F220" i="9"/>
  <c r="F219" i="9"/>
  <c r="F218" i="9"/>
  <c r="F217" i="9"/>
  <c r="F216" i="9"/>
  <c r="F215" i="9"/>
  <c r="F214" i="9"/>
  <c r="F235" i="9"/>
  <c r="F224" i="9"/>
  <c r="F213" i="9"/>
  <c r="F202" i="9"/>
  <c r="F210" i="9"/>
  <c r="F209" i="9"/>
  <c r="F208" i="9"/>
  <c r="F207" i="9"/>
  <c r="F206" i="9"/>
  <c r="F205" i="9"/>
  <c r="F204" i="9"/>
  <c r="F203" i="9"/>
  <c r="F199" i="9"/>
  <c r="F198" i="9"/>
  <c r="F197" i="9"/>
  <c r="F196" i="9"/>
  <c r="F195" i="9"/>
  <c r="F194" i="9"/>
  <c r="F193" i="9"/>
  <c r="F192" i="9"/>
  <c r="F188" i="9"/>
  <c r="F187" i="9"/>
  <c r="F186" i="9"/>
  <c r="F185" i="9"/>
  <c r="F184" i="9"/>
  <c r="F183" i="9"/>
  <c r="F182" i="9"/>
  <c r="F181" i="9"/>
  <c r="F191" i="9"/>
  <c r="F180" i="9"/>
  <c r="F169" i="9"/>
  <c r="F177" i="9"/>
  <c r="F176" i="9"/>
  <c r="F175" i="9"/>
  <c r="F174" i="9"/>
  <c r="F173" i="9"/>
  <c r="F172" i="9"/>
  <c r="F171" i="9"/>
  <c r="F170" i="9"/>
  <c r="F166" i="9"/>
  <c r="F165" i="9"/>
  <c r="F164" i="9"/>
  <c r="F163" i="9"/>
  <c r="F162" i="9"/>
  <c r="F161" i="9"/>
  <c r="F160" i="9"/>
  <c r="F159" i="9"/>
  <c r="F155" i="9"/>
  <c r="F154" i="9"/>
  <c r="F153" i="9"/>
  <c r="F152" i="9"/>
  <c r="F151" i="9"/>
  <c r="F150" i="9"/>
  <c r="F149" i="9"/>
  <c r="F148" i="9"/>
  <c r="F158" i="9"/>
  <c r="F147" i="9"/>
  <c r="F136" i="9"/>
  <c r="F144" i="9"/>
  <c r="F143" i="9"/>
  <c r="F142" i="9"/>
  <c r="F141" i="9"/>
  <c r="F140" i="9"/>
  <c r="F139" i="9"/>
  <c r="F138" i="9"/>
  <c r="F137" i="9"/>
  <c r="F133" i="9"/>
  <c r="F132" i="9"/>
  <c r="F131" i="9"/>
  <c r="F130" i="9"/>
  <c r="F129" i="9"/>
  <c r="F128" i="9"/>
  <c r="F127" i="9"/>
  <c r="F126" i="9"/>
  <c r="F122" i="9"/>
  <c r="F121" i="9"/>
  <c r="F120" i="9"/>
  <c r="F119" i="9"/>
  <c r="F118" i="9"/>
  <c r="F117" i="9"/>
  <c r="F116" i="9"/>
  <c r="F115" i="9"/>
  <c r="F125" i="9"/>
  <c r="F114" i="9"/>
  <c r="F103" i="9"/>
  <c r="F111" i="9"/>
  <c r="F110" i="9"/>
  <c r="F109" i="9"/>
  <c r="F108" i="9"/>
  <c r="F107" i="9"/>
  <c r="F106" i="9"/>
  <c r="F105" i="9"/>
  <c r="F104" i="9"/>
  <c r="F100" i="9"/>
  <c r="F99" i="9"/>
  <c r="F98" i="9"/>
  <c r="F97" i="9"/>
  <c r="F96" i="9"/>
  <c r="F95" i="9"/>
  <c r="F94" i="9"/>
  <c r="F93" i="9"/>
  <c r="F92" i="9"/>
  <c r="F81" i="9"/>
  <c r="F78" i="9"/>
  <c r="F77" i="9"/>
  <c r="F76" i="9"/>
  <c r="F75" i="9"/>
  <c r="F74" i="9"/>
  <c r="F73" i="9"/>
  <c r="F72" i="9"/>
  <c r="F71" i="9"/>
  <c r="F70" i="9"/>
  <c r="F69" i="9"/>
  <c r="L69" i="9" s="1"/>
  <c r="O59" i="9"/>
  <c r="O58" i="9"/>
  <c r="F84" i="9" s="1"/>
  <c r="O57" i="9"/>
  <c r="F89" i="9"/>
  <c r="F86" i="9"/>
  <c r="F85" i="9"/>
  <c r="E243" i="9"/>
  <c r="E242" i="9"/>
  <c r="E241" i="9"/>
  <c r="E240" i="9"/>
  <c r="E239" i="9"/>
  <c r="E238" i="9"/>
  <c r="E237" i="9"/>
  <c r="E236" i="9"/>
  <c r="E232" i="9"/>
  <c r="E231" i="9"/>
  <c r="E230" i="9"/>
  <c r="E229" i="9"/>
  <c r="E228" i="9"/>
  <c r="E227" i="9"/>
  <c r="E226" i="9"/>
  <c r="E225" i="9"/>
  <c r="E221" i="9"/>
  <c r="E220" i="9"/>
  <c r="E219" i="9"/>
  <c r="E218" i="9"/>
  <c r="E217" i="9"/>
  <c r="E216" i="9"/>
  <c r="E215" i="9"/>
  <c r="E214" i="9"/>
  <c r="E235" i="9"/>
  <c r="E224" i="9"/>
  <c r="E213" i="9"/>
  <c r="E202" i="9"/>
  <c r="E210" i="9"/>
  <c r="E209" i="9"/>
  <c r="E208" i="9"/>
  <c r="E207" i="9"/>
  <c r="E206" i="9"/>
  <c r="E205" i="9"/>
  <c r="E204" i="9"/>
  <c r="E203" i="9"/>
  <c r="E199" i="9"/>
  <c r="E198" i="9"/>
  <c r="E197" i="9"/>
  <c r="E196" i="9"/>
  <c r="E195" i="9"/>
  <c r="E194" i="9"/>
  <c r="E193" i="9"/>
  <c r="E192" i="9"/>
  <c r="E188" i="9"/>
  <c r="E187" i="9"/>
  <c r="E186" i="9"/>
  <c r="E185" i="9"/>
  <c r="E184" i="9"/>
  <c r="E183" i="9"/>
  <c r="E182" i="9"/>
  <c r="E181" i="9"/>
  <c r="E180" i="9"/>
  <c r="E191" i="9"/>
  <c r="E169" i="9"/>
  <c r="E177" i="9"/>
  <c r="E176" i="9"/>
  <c r="E175" i="9"/>
  <c r="E174" i="9"/>
  <c r="E173" i="9"/>
  <c r="E172" i="9"/>
  <c r="E171" i="9"/>
  <c r="E170" i="9"/>
  <c r="E166" i="9"/>
  <c r="E165" i="9"/>
  <c r="E164" i="9"/>
  <c r="E163" i="9"/>
  <c r="E162" i="9"/>
  <c r="E161" i="9"/>
  <c r="E160" i="9"/>
  <c r="E159" i="9"/>
  <c r="E155" i="9"/>
  <c r="E154" i="9"/>
  <c r="E153" i="9"/>
  <c r="E152" i="9"/>
  <c r="E151" i="9"/>
  <c r="E150" i="9"/>
  <c r="E149" i="9"/>
  <c r="E148" i="9"/>
  <c r="E158" i="9"/>
  <c r="E147" i="9"/>
  <c r="E136" i="9"/>
  <c r="E144" i="9"/>
  <c r="E143" i="9"/>
  <c r="E142" i="9"/>
  <c r="E141" i="9"/>
  <c r="E140" i="9"/>
  <c r="E139" i="9"/>
  <c r="E138" i="9"/>
  <c r="E137" i="9"/>
  <c r="E133" i="9"/>
  <c r="E132" i="9"/>
  <c r="E131" i="9"/>
  <c r="E130" i="9"/>
  <c r="E129" i="9"/>
  <c r="E128" i="9"/>
  <c r="E127" i="9"/>
  <c r="E126" i="9"/>
  <c r="E122" i="9"/>
  <c r="E121" i="9"/>
  <c r="E120" i="9"/>
  <c r="E119" i="9"/>
  <c r="E118" i="9"/>
  <c r="E117" i="9"/>
  <c r="E116" i="9"/>
  <c r="E115" i="9"/>
  <c r="E125" i="9"/>
  <c r="E114" i="9"/>
  <c r="E103" i="9"/>
  <c r="E111" i="9"/>
  <c r="E110" i="9"/>
  <c r="E109" i="9"/>
  <c r="E108" i="9"/>
  <c r="E107" i="9"/>
  <c r="E106" i="9"/>
  <c r="E105" i="9"/>
  <c r="E104" i="9"/>
  <c r="E100" i="9"/>
  <c r="E99" i="9"/>
  <c r="E98" i="9"/>
  <c r="E97" i="9"/>
  <c r="E96" i="9"/>
  <c r="E95" i="9"/>
  <c r="E94" i="9"/>
  <c r="E93" i="9"/>
  <c r="E92" i="9"/>
  <c r="E81" i="9"/>
  <c r="E88" i="9"/>
  <c r="E89" i="9"/>
  <c r="E87" i="9"/>
  <c r="E86" i="9"/>
  <c r="E85" i="9"/>
  <c r="E84" i="9"/>
  <c r="E83" i="9"/>
  <c r="E82" i="9"/>
  <c r="E69" i="9"/>
  <c r="E78" i="9"/>
  <c r="E77" i="9"/>
  <c r="E76" i="9"/>
  <c r="E75" i="9"/>
  <c r="E73" i="9"/>
  <c r="E72" i="9"/>
  <c r="E71" i="9"/>
  <c r="E70" i="9"/>
  <c r="D69" i="9"/>
  <c r="D243" i="9"/>
  <c r="D242" i="9"/>
  <c r="D241" i="9"/>
  <c r="D240" i="9"/>
  <c r="D239" i="9"/>
  <c r="D238" i="9"/>
  <c r="D237" i="9"/>
  <c r="D236" i="9"/>
  <c r="D232" i="9"/>
  <c r="D231" i="9"/>
  <c r="D230" i="9"/>
  <c r="D229" i="9"/>
  <c r="D228" i="9"/>
  <c r="D227" i="9"/>
  <c r="D226" i="9"/>
  <c r="D225" i="9"/>
  <c r="D235" i="9"/>
  <c r="D224" i="9"/>
  <c r="D213" i="9"/>
  <c r="D221" i="9"/>
  <c r="D220" i="9"/>
  <c r="D219" i="9"/>
  <c r="D218" i="9"/>
  <c r="D217" i="9"/>
  <c r="D216" i="9"/>
  <c r="D215" i="9"/>
  <c r="D214" i="9"/>
  <c r="D202" i="9"/>
  <c r="D210" i="9"/>
  <c r="D209" i="9"/>
  <c r="D208" i="9"/>
  <c r="D207" i="9"/>
  <c r="D206" i="9"/>
  <c r="D205" i="9"/>
  <c r="D204" i="9"/>
  <c r="D203" i="9"/>
  <c r="D199" i="9"/>
  <c r="D198" i="9"/>
  <c r="D197" i="9"/>
  <c r="D196" i="9"/>
  <c r="D195" i="9"/>
  <c r="D194" i="9"/>
  <c r="D193" i="9"/>
  <c r="D192" i="9"/>
  <c r="D191" i="9"/>
  <c r="D180" i="9"/>
  <c r="D188" i="9"/>
  <c r="D187" i="9"/>
  <c r="D186" i="9"/>
  <c r="D185" i="9"/>
  <c r="D184" i="9"/>
  <c r="D183" i="9"/>
  <c r="D182" i="9"/>
  <c r="D181" i="9"/>
  <c r="D169" i="9"/>
  <c r="D177" i="9"/>
  <c r="D176" i="9"/>
  <c r="D175" i="9"/>
  <c r="D174" i="9"/>
  <c r="D173" i="9"/>
  <c r="D172" i="9"/>
  <c r="D171" i="9"/>
  <c r="D170" i="9"/>
  <c r="D166" i="9"/>
  <c r="D165" i="9"/>
  <c r="D164" i="9"/>
  <c r="D163" i="9"/>
  <c r="D162" i="9"/>
  <c r="D161" i="9"/>
  <c r="D160" i="9"/>
  <c r="D159" i="9"/>
  <c r="D158" i="9"/>
  <c r="D147" i="9"/>
  <c r="D148" i="9"/>
  <c r="D155" i="9"/>
  <c r="D154" i="9"/>
  <c r="D153" i="9"/>
  <c r="D152" i="9"/>
  <c r="D151" i="9"/>
  <c r="D150" i="9"/>
  <c r="D149" i="9"/>
  <c r="D136" i="9"/>
  <c r="D144" i="9"/>
  <c r="D143" i="9"/>
  <c r="D142" i="9"/>
  <c r="D141" i="9"/>
  <c r="D140" i="9"/>
  <c r="D139" i="9"/>
  <c r="D138" i="9"/>
  <c r="D137" i="9"/>
  <c r="D125" i="9"/>
  <c r="D133" i="9"/>
  <c r="D132" i="9"/>
  <c r="D131" i="9"/>
  <c r="D130" i="9"/>
  <c r="D129" i="9"/>
  <c r="D128" i="9"/>
  <c r="D127" i="9"/>
  <c r="D126" i="9"/>
  <c r="D114" i="9"/>
  <c r="D122" i="9"/>
  <c r="D121" i="9"/>
  <c r="D120" i="9"/>
  <c r="D119" i="9"/>
  <c r="D118" i="9"/>
  <c r="D117" i="9"/>
  <c r="D116" i="9"/>
  <c r="D115" i="9"/>
  <c r="D103" i="9"/>
  <c r="D111" i="9"/>
  <c r="D110" i="9"/>
  <c r="D109" i="9"/>
  <c r="D108" i="9"/>
  <c r="D107" i="9"/>
  <c r="D106" i="9"/>
  <c r="D105" i="9"/>
  <c r="D104" i="9"/>
  <c r="D81" i="9"/>
  <c r="D100" i="9"/>
  <c r="D99" i="9"/>
  <c r="D98" i="9"/>
  <c r="D97" i="9"/>
  <c r="D96" i="9"/>
  <c r="D95" i="9"/>
  <c r="D94" i="9"/>
  <c r="D93" i="9"/>
  <c r="D92" i="9"/>
  <c r="D89" i="9"/>
  <c r="D88" i="9"/>
  <c r="D87" i="9"/>
  <c r="D86" i="9"/>
  <c r="D85" i="9"/>
  <c r="D84" i="9"/>
  <c r="D83" i="9"/>
  <c r="D82" i="9"/>
  <c r="D72" i="9"/>
  <c r="D78" i="9"/>
  <c r="D77" i="9"/>
  <c r="D76" i="9"/>
  <c r="D75" i="9"/>
  <c r="D74" i="9"/>
  <c r="D73" i="9"/>
  <c r="D71" i="9"/>
  <c r="D70" i="9"/>
  <c r="C243" i="9"/>
  <c r="C242" i="9"/>
  <c r="C241" i="9"/>
  <c r="C158" i="12"/>
  <c r="C239" i="9"/>
  <c r="C238" i="9"/>
  <c r="C237" i="9"/>
  <c r="C236" i="9"/>
  <c r="C235" i="9"/>
  <c r="C224" i="9"/>
  <c r="C232" i="9"/>
  <c r="C231" i="9"/>
  <c r="C230" i="9"/>
  <c r="C148" i="12"/>
  <c r="C228" i="9"/>
  <c r="C227" i="9"/>
  <c r="C226" i="9"/>
  <c r="C225" i="9"/>
  <c r="C213" i="9"/>
  <c r="C221" i="9"/>
  <c r="C220" i="9"/>
  <c r="C219" i="9"/>
  <c r="C138" i="12"/>
  <c r="C217" i="9"/>
  <c r="C216" i="9"/>
  <c r="C215" i="9"/>
  <c r="C214" i="9"/>
  <c r="C202" i="9"/>
  <c r="C210" i="9"/>
  <c r="C209" i="9"/>
  <c r="C208" i="9"/>
  <c r="C206" i="9"/>
  <c r="C205" i="9"/>
  <c r="C204" i="9"/>
  <c r="C203" i="9"/>
  <c r="C191" i="9"/>
  <c r="C199" i="9"/>
  <c r="C198" i="9"/>
  <c r="C197" i="9"/>
  <c r="C195" i="9"/>
  <c r="C194" i="9"/>
  <c r="C193" i="9"/>
  <c r="C192" i="9"/>
  <c r="C180" i="9"/>
  <c r="C188" i="9"/>
  <c r="C187" i="9"/>
  <c r="C186" i="9"/>
  <c r="C184" i="9"/>
  <c r="C183" i="9"/>
  <c r="C182" i="9"/>
  <c r="C181" i="9"/>
  <c r="C169" i="9"/>
  <c r="C177" i="9"/>
  <c r="C176" i="9"/>
  <c r="C175" i="9"/>
  <c r="C173" i="9"/>
  <c r="C172" i="9"/>
  <c r="C171" i="9"/>
  <c r="C170" i="9"/>
  <c r="C158" i="9"/>
  <c r="M61" i="9"/>
  <c r="M65" i="9"/>
  <c r="M64" i="9"/>
  <c r="M63" i="9"/>
  <c r="M62" i="9"/>
  <c r="M60" i="9"/>
  <c r="L64" i="9"/>
  <c r="C147" i="9"/>
  <c r="C155" i="9"/>
  <c r="C154" i="9"/>
  <c r="C153" i="9"/>
  <c r="C151" i="9"/>
  <c r="C150" i="9"/>
  <c r="C149" i="9"/>
  <c r="C148" i="9"/>
  <c r="C136" i="9"/>
  <c r="C144" i="9"/>
  <c r="C143" i="9"/>
  <c r="C142" i="9"/>
  <c r="C140" i="9"/>
  <c r="C139" i="9"/>
  <c r="C138" i="9"/>
  <c r="C137" i="9"/>
  <c r="C125" i="9"/>
  <c r="C133" i="9"/>
  <c r="C132" i="9"/>
  <c r="C131" i="9"/>
  <c r="C129" i="9"/>
  <c r="C128" i="9"/>
  <c r="C127" i="9"/>
  <c r="C126" i="9"/>
  <c r="C114" i="9"/>
  <c r="C122" i="9"/>
  <c r="C121" i="9"/>
  <c r="C120" i="9"/>
  <c r="C118" i="9"/>
  <c r="C117" i="9"/>
  <c r="C116" i="9"/>
  <c r="C115" i="9"/>
  <c r="C103" i="9"/>
  <c r="C111" i="9"/>
  <c r="C110" i="9"/>
  <c r="C109" i="9"/>
  <c r="C107" i="9"/>
  <c r="C106" i="9"/>
  <c r="C105" i="9"/>
  <c r="C104" i="9"/>
  <c r="C92" i="9"/>
  <c r="L63" i="9"/>
  <c r="L62" i="9"/>
  <c r="L61" i="9"/>
  <c r="L60" i="9"/>
  <c r="L59" i="9"/>
  <c r="L58" i="9"/>
  <c r="L57" i="9"/>
  <c r="C100" i="9"/>
  <c r="C99" i="9"/>
  <c r="C98" i="9"/>
  <c r="C96" i="9"/>
  <c r="C95" i="9"/>
  <c r="C94" i="9"/>
  <c r="C93" i="9"/>
  <c r="C81" i="9"/>
  <c r="C74" i="9"/>
  <c r="C70" i="9"/>
  <c r="C71" i="9"/>
  <c r="C72" i="9"/>
  <c r="C73" i="9"/>
  <c r="C76" i="9"/>
  <c r="C77" i="9"/>
  <c r="C78" i="9"/>
  <c r="C69" i="9"/>
  <c r="C89" i="9"/>
  <c r="C88" i="9"/>
  <c r="C87" i="9"/>
  <c r="C85" i="9"/>
  <c r="C84" i="9"/>
  <c r="C83" i="9"/>
  <c r="C82" i="9"/>
  <c r="S70" i="9"/>
  <c r="S69" i="9"/>
  <c r="R70" i="9"/>
  <c r="R69" i="9"/>
  <c r="R71" i="9" s="1"/>
  <c r="B243" i="9"/>
  <c r="B242" i="9"/>
  <c r="B241" i="9"/>
  <c r="B240" i="9"/>
  <c r="B239" i="9"/>
  <c r="B238" i="9"/>
  <c r="B237" i="9"/>
  <c r="B236" i="9"/>
  <c r="B235" i="9"/>
  <c r="B232" i="9"/>
  <c r="B231" i="9"/>
  <c r="B230" i="9"/>
  <c r="B229" i="9"/>
  <c r="B228" i="9"/>
  <c r="B227" i="9"/>
  <c r="B226" i="9"/>
  <c r="B225" i="9"/>
  <c r="B224" i="9"/>
  <c r="B221" i="9"/>
  <c r="B220" i="9"/>
  <c r="B219" i="9"/>
  <c r="B218" i="9"/>
  <c r="B217" i="9"/>
  <c r="B216" i="9"/>
  <c r="B215" i="9"/>
  <c r="B214" i="9"/>
  <c r="B213" i="9"/>
  <c r="B210" i="9"/>
  <c r="B209" i="9"/>
  <c r="B208" i="9"/>
  <c r="B207" i="9"/>
  <c r="B206" i="9"/>
  <c r="B205" i="9"/>
  <c r="B204" i="9"/>
  <c r="B203" i="9"/>
  <c r="B202" i="9"/>
  <c r="B199" i="9"/>
  <c r="B198" i="9"/>
  <c r="B197" i="9"/>
  <c r="B196" i="9"/>
  <c r="B195" i="9"/>
  <c r="B194" i="9"/>
  <c r="B193" i="9"/>
  <c r="B192" i="9"/>
  <c r="B191" i="9"/>
  <c r="B188" i="9"/>
  <c r="B187" i="9"/>
  <c r="B186" i="9"/>
  <c r="B185" i="9"/>
  <c r="B184" i="9"/>
  <c r="B183" i="9"/>
  <c r="B182" i="9"/>
  <c r="B181" i="9"/>
  <c r="B180" i="9"/>
  <c r="B177" i="9"/>
  <c r="B176" i="9"/>
  <c r="B175" i="9"/>
  <c r="B174" i="9"/>
  <c r="B173" i="9"/>
  <c r="B172" i="9"/>
  <c r="B171" i="9"/>
  <c r="B170" i="9"/>
  <c r="B169" i="9"/>
  <c r="B166" i="9"/>
  <c r="B165" i="9"/>
  <c r="B164" i="9"/>
  <c r="B163" i="9"/>
  <c r="B162" i="9"/>
  <c r="B161" i="9"/>
  <c r="B160" i="9"/>
  <c r="B159" i="9"/>
  <c r="B158" i="9"/>
  <c r="B155" i="9"/>
  <c r="B154" i="9"/>
  <c r="B153" i="9"/>
  <c r="B152" i="9"/>
  <c r="B151" i="9"/>
  <c r="B150" i="9"/>
  <c r="B149" i="9"/>
  <c r="B148" i="9"/>
  <c r="B147" i="9"/>
  <c r="B144" i="9"/>
  <c r="B143" i="9"/>
  <c r="B142" i="9"/>
  <c r="B141" i="9"/>
  <c r="B140" i="9"/>
  <c r="B139" i="9"/>
  <c r="B138" i="9"/>
  <c r="B137" i="9"/>
  <c r="B136" i="9"/>
  <c r="B133" i="9"/>
  <c r="B132" i="9"/>
  <c r="B131" i="9"/>
  <c r="B130" i="9"/>
  <c r="B129" i="9"/>
  <c r="B128" i="9"/>
  <c r="B127" i="9"/>
  <c r="B126" i="9"/>
  <c r="B125" i="9"/>
  <c r="B122" i="9"/>
  <c r="B121" i="9"/>
  <c r="B120" i="9"/>
  <c r="B119" i="9"/>
  <c r="B118" i="9"/>
  <c r="B117" i="9"/>
  <c r="B116" i="9"/>
  <c r="B115" i="9"/>
  <c r="B114" i="9"/>
  <c r="B111" i="9"/>
  <c r="B110" i="9"/>
  <c r="B109" i="9"/>
  <c r="B108" i="9"/>
  <c r="B107" i="9"/>
  <c r="B106" i="9"/>
  <c r="B105" i="9"/>
  <c r="B104" i="9"/>
  <c r="B103" i="9"/>
  <c r="B100" i="9"/>
  <c r="B99" i="9"/>
  <c r="B98" i="9"/>
  <c r="B97" i="9"/>
  <c r="B96" i="9"/>
  <c r="B95" i="9"/>
  <c r="B94" i="9"/>
  <c r="B93" i="9"/>
  <c r="B92" i="9"/>
  <c r="B69" i="9"/>
  <c r="B78" i="9"/>
  <c r="B77" i="9"/>
  <c r="B76" i="9"/>
  <c r="B75" i="9"/>
  <c r="B74" i="9"/>
  <c r="B73" i="9"/>
  <c r="B72" i="9"/>
  <c r="B71" i="9"/>
  <c r="B70" i="9"/>
  <c r="B89" i="9"/>
  <c r="B88" i="9"/>
  <c r="B87" i="9"/>
  <c r="B86" i="9"/>
  <c r="B85" i="9"/>
  <c r="B84" i="9"/>
  <c r="B83" i="9"/>
  <c r="B82" i="9"/>
  <c r="K69" i="9"/>
  <c r="E57" i="9"/>
  <c r="D57" i="9"/>
  <c r="C57" i="9"/>
  <c r="B57" i="9"/>
  <c r="Q40" i="14"/>
  <c r="P40" i="14"/>
  <c r="O40" i="14"/>
  <c r="N40" i="14"/>
  <c r="M40" i="14"/>
  <c r="L40" i="14"/>
  <c r="K40" i="14"/>
  <c r="J40" i="14"/>
  <c r="I40" i="14"/>
  <c r="H40" i="14"/>
  <c r="G40" i="14"/>
  <c r="F40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Q16" i="14"/>
  <c r="Q26" i="14" s="1"/>
  <c r="P16" i="14"/>
  <c r="P26" i="14" s="1"/>
  <c r="O16" i="14"/>
  <c r="O26" i="14" s="1"/>
  <c r="N16" i="14"/>
  <c r="N26" i="14" s="1"/>
  <c r="M16" i="14"/>
  <c r="M26" i="14" s="1"/>
  <c r="L16" i="14"/>
  <c r="L26" i="14" s="1"/>
  <c r="K16" i="14"/>
  <c r="K26" i="14" s="1"/>
  <c r="J16" i="14"/>
  <c r="J26" i="14" s="1"/>
  <c r="I16" i="14"/>
  <c r="I26" i="14" s="1"/>
  <c r="H16" i="14"/>
  <c r="H26" i="14" s="1"/>
  <c r="G16" i="14"/>
  <c r="G26" i="14" s="1"/>
  <c r="F16" i="14"/>
  <c r="F26" i="14" s="1"/>
  <c r="Q15" i="14"/>
  <c r="P15" i="14"/>
  <c r="O15" i="14"/>
  <c r="N15" i="14"/>
  <c r="M15" i="14"/>
  <c r="L15" i="14"/>
  <c r="K15" i="14"/>
  <c r="J15" i="14"/>
  <c r="I15" i="14"/>
  <c r="H15" i="14"/>
  <c r="G15" i="14"/>
  <c r="F15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40" i="14"/>
  <c r="D40" i="14"/>
  <c r="C40" i="14"/>
  <c r="E31" i="14"/>
  <c r="D31" i="14"/>
  <c r="C31" i="14"/>
  <c r="E29" i="14"/>
  <c r="D29" i="14"/>
  <c r="C29" i="14"/>
  <c r="E28" i="14"/>
  <c r="D28" i="14"/>
  <c r="C28" i="14"/>
  <c r="E25" i="14"/>
  <c r="D25" i="14"/>
  <c r="C25" i="14"/>
  <c r="E24" i="14"/>
  <c r="D24" i="14"/>
  <c r="C24" i="14"/>
  <c r="E23" i="14"/>
  <c r="D23" i="14"/>
  <c r="C23" i="14"/>
  <c r="E22" i="14"/>
  <c r="D22" i="14"/>
  <c r="C22" i="14"/>
  <c r="E21" i="14"/>
  <c r="D21" i="14"/>
  <c r="C21" i="14"/>
  <c r="E20" i="14"/>
  <c r="D20" i="14"/>
  <c r="C20" i="14"/>
  <c r="E19" i="14"/>
  <c r="D19" i="14"/>
  <c r="C19" i="14"/>
  <c r="E18" i="14"/>
  <c r="D18" i="14"/>
  <c r="C18" i="14"/>
  <c r="E17" i="14"/>
  <c r="D17" i="14"/>
  <c r="C17" i="14"/>
  <c r="E16" i="14"/>
  <c r="E26" i="14" s="1"/>
  <c r="D16" i="14"/>
  <c r="D26" i="14" s="1"/>
  <c r="C16" i="14"/>
  <c r="C26" i="14" s="1"/>
  <c r="E15" i="14"/>
  <c r="D15" i="14"/>
  <c r="C15" i="14"/>
  <c r="E13" i="14"/>
  <c r="D13" i="14"/>
  <c r="C13" i="14"/>
  <c r="A1" i="13"/>
  <c r="B1" i="13"/>
  <c r="C1" i="13"/>
  <c r="D1" i="13"/>
  <c r="E1" i="13"/>
  <c r="F1" i="13"/>
  <c r="G1" i="13"/>
  <c r="H1" i="13"/>
  <c r="A2" i="13"/>
  <c r="F2" i="13"/>
  <c r="G2" i="13"/>
  <c r="H2" i="13"/>
  <c r="A3" i="13"/>
  <c r="F3" i="13"/>
  <c r="G3" i="13"/>
  <c r="H3" i="13"/>
  <c r="A4" i="13"/>
  <c r="F4" i="13"/>
  <c r="G4" i="13"/>
  <c r="H4" i="13"/>
  <c r="A5" i="13"/>
  <c r="F5" i="13"/>
  <c r="G5" i="13"/>
  <c r="H5" i="13"/>
  <c r="A6" i="13"/>
  <c r="F6" i="13"/>
  <c r="G6" i="13"/>
  <c r="H6" i="13"/>
  <c r="A7" i="13"/>
  <c r="D7" i="13"/>
  <c r="F7" i="13"/>
  <c r="G7" i="13"/>
  <c r="H7" i="13"/>
  <c r="A8" i="13"/>
  <c r="F8" i="13"/>
  <c r="G8" i="13"/>
  <c r="H8" i="13"/>
  <c r="A9" i="13"/>
  <c r="F9" i="13"/>
  <c r="G9" i="13"/>
  <c r="H9" i="13"/>
  <c r="A10" i="13"/>
  <c r="F10" i="13"/>
  <c r="G10" i="13"/>
  <c r="H10" i="13"/>
  <c r="D31" i="10"/>
  <c r="E31" i="10"/>
  <c r="F31" i="10"/>
  <c r="G31" i="10"/>
  <c r="H31" i="10"/>
  <c r="I31" i="10"/>
  <c r="J31" i="10"/>
  <c r="K31" i="10"/>
  <c r="L31" i="10"/>
  <c r="M31" i="10"/>
  <c r="N31" i="10"/>
  <c r="O31" i="10"/>
  <c r="P31" i="10"/>
  <c r="Q31" i="10"/>
  <c r="C31" i="10"/>
  <c r="I152" i="12"/>
  <c r="I142" i="12"/>
  <c r="I132" i="12"/>
  <c r="D31" i="6"/>
  <c r="E31" i="6"/>
  <c r="F31" i="6"/>
  <c r="G31" i="6"/>
  <c r="H31" i="6"/>
  <c r="I31" i="6"/>
  <c r="J31" i="6"/>
  <c r="K31" i="6"/>
  <c r="L31" i="6"/>
  <c r="M31" i="6"/>
  <c r="N31" i="6"/>
  <c r="O31" i="6"/>
  <c r="P31" i="6"/>
  <c r="Q31" i="6"/>
  <c r="C31" i="6"/>
  <c r="I122" i="12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C31" i="7"/>
  <c r="I112" i="12"/>
  <c r="I102" i="12"/>
  <c r="I92" i="12"/>
  <c r="I82" i="12"/>
  <c r="I72" i="12"/>
  <c r="I62" i="12"/>
  <c r="I52" i="12"/>
  <c r="I42" i="12"/>
  <c r="I32" i="12"/>
  <c r="I22" i="12"/>
  <c r="D40" i="10"/>
  <c r="E40" i="10"/>
  <c r="F40" i="10"/>
  <c r="G40" i="10"/>
  <c r="H40" i="10"/>
  <c r="I40" i="10"/>
  <c r="J40" i="10"/>
  <c r="K40" i="10"/>
  <c r="L40" i="10"/>
  <c r="M40" i="10"/>
  <c r="N40" i="10"/>
  <c r="O40" i="10"/>
  <c r="P40" i="10"/>
  <c r="Q40" i="10"/>
  <c r="C40" i="10"/>
  <c r="D40" i="8"/>
  <c r="E40" i="8"/>
  <c r="F40" i="8"/>
  <c r="G40" i="8"/>
  <c r="H40" i="8"/>
  <c r="I40" i="8"/>
  <c r="J40" i="8"/>
  <c r="K40" i="8"/>
  <c r="L40" i="8"/>
  <c r="M40" i="8"/>
  <c r="N40" i="8"/>
  <c r="O40" i="8"/>
  <c r="P40" i="8"/>
  <c r="Q40" i="8"/>
  <c r="C40" i="8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C40" i="7"/>
  <c r="I12" i="12"/>
  <c r="D40" i="6"/>
  <c r="E40" i="6"/>
  <c r="F40" i="6"/>
  <c r="G40" i="6"/>
  <c r="H40" i="6"/>
  <c r="I40" i="6"/>
  <c r="J40" i="6"/>
  <c r="K40" i="6"/>
  <c r="L40" i="6"/>
  <c r="M40" i="6"/>
  <c r="N40" i="6"/>
  <c r="O40" i="6"/>
  <c r="P40" i="6"/>
  <c r="Q40" i="6"/>
  <c r="C40" i="6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C40" i="5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C40" i="4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P31" i="5"/>
  <c r="Q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C31" i="4"/>
  <c r="D31" i="3"/>
  <c r="E31" i="3"/>
  <c r="F31" i="3"/>
  <c r="G31" i="3"/>
  <c r="H31" i="3"/>
  <c r="J31" i="3"/>
  <c r="K31" i="3"/>
  <c r="L31" i="3"/>
  <c r="M31" i="3"/>
  <c r="N31" i="3"/>
  <c r="O31" i="3"/>
  <c r="P31" i="3"/>
  <c r="Q31" i="3"/>
  <c r="C31" i="3"/>
  <c r="Q40" i="3"/>
  <c r="P40" i="3"/>
  <c r="O40" i="3"/>
  <c r="N40" i="3"/>
  <c r="M40" i="3"/>
  <c r="L40" i="3"/>
  <c r="K40" i="3"/>
  <c r="J40" i="3"/>
  <c r="I40" i="3"/>
  <c r="I31" i="3" s="1"/>
  <c r="H40" i="3"/>
  <c r="G40" i="3"/>
  <c r="F40" i="3"/>
  <c r="E40" i="3"/>
  <c r="D40" i="3"/>
  <c r="C40" i="3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C31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D40" i="2"/>
  <c r="E40" i="2"/>
  <c r="F40" i="2"/>
  <c r="G40" i="2"/>
  <c r="H40" i="2"/>
  <c r="I40" i="2"/>
  <c r="J40" i="2"/>
  <c r="K40" i="2"/>
  <c r="L40" i="2"/>
  <c r="M40" i="2"/>
  <c r="N40" i="2"/>
  <c r="O40" i="2"/>
  <c r="P40" i="2"/>
  <c r="Q40" i="2"/>
  <c r="C40" i="2"/>
  <c r="C31" i="2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C24" i="10"/>
  <c r="C25" i="10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C24" i="7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Q24" i="6"/>
  <c r="C24" i="6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C24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I161" i="12"/>
  <c r="I160" i="12"/>
  <c r="I159" i="12"/>
  <c r="I158" i="12"/>
  <c r="I157" i="12"/>
  <c r="I156" i="12"/>
  <c r="I155" i="12"/>
  <c r="I154" i="12"/>
  <c r="I153" i="12"/>
  <c r="I151" i="12"/>
  <c r="I150" i="12"/>
  <c r="I149" i="12"/>
  <c r="I148" i="12"/>
  <c r="I147" i="12"/>
  <c r="I146" i="12"/>
  <c r="I145" i="12"/>
  <c r="I144" i="12"/>
  <c r="I143" i="12"/>
  <c r="I141" i="12"/>
  <c r="I140" i="12"/>
  <c r="I139" i="12"/>
  <c r="I138" i="12"/>
  <c r="I137" i="12"/>
  <c r="I136" i="12"/>
  <c r="I135" i="12"/>
  <c r="I134" i="12"/>
  <c r="I133" i="12"/>
  <c r="I131" i="12"/>
  <c r="I130" i="12"/>
  <c r="I129" i="12"/>
  <c r="I128" i="12"/>
  <c r="C128" i="12"/>
  <c r="I127" i="12"/>
  <c r="I126" i="12"/>
  <c r="I125" i="12"/>
  <c r="I124" i="12"/>
  <c r="I123" i="12"/>
  <c r="I121" i="12"/>
  <c r="I120" i="12"/>
  <c r="I119" i="12"/>
  <c r="I118" i="12"/>
  <c r="C118" i="12"/>
  <c r="I117" i="12"/>
  <c r="I116" i="12"/>
  <c r="I115" i="12"/>
  <c r="I114" i="12"/>
  <c r="I113" i="12"/>
  <c r="I111" i="12"/>
  <c r="I110" i="12"/>
  <c r="I109" i="12"/>
  <c r="I108" i="12"/>
  <c r="C108" i="12"/>
  <c r="I107" i="12"/>
  <c r="I106" i="12"/>
  <c r="I105" i="12"/>
  <c r="I104" i="12"/>
  <c r="I103" i="12"/>
  <c r="I101" i="12"/>
  <c r="I100" i="12"/>
  <c r="I99" i="12"/>
  <c r="I98" i="12"/>
  <c r="C98" i="12"/>
  <c r="I97" i="12"/>
  <c r="I96" i="12"/>
  <c r="I95" i="12"/>
  <c r="I94" i="12"/>
  <c r="I93" i="12"/>
  <c r="I91" i="12"/>
  <c r="I90" i="12"/>
  <c r="I89" i="12"/>
  <c r="I88" i="12"/>
  <c r="C88" i="12"/>
  <c r="I87" i="12"/>
  <c r="I86" i="12"/>
  <c r="I85" i="12"/>
  <c r="I84" i="12"/>
  <c r="I83" i="12"/>
  <c r="I81" i="12"/>
  <c r="I80" i="12"/>
  <c r="I79" i="12"/>
  <c r="I78" i="12"/>
  <c r="C78" i="12"/>
  <c r="I77" i="12"/>
  <c r="I76" i="12"/>
  <c r="I75" i="12"/>
  <c r="I74" i="12"/>
  <c r="I73" i="12"/>
  <c r="I71" i="12"/>
  <c r="I70" i="12"/>
  <c r="I69" i="12"/>
  <c r="I68" i="12"/>
  <c r="C68" i="12"/>
  <c r="I67" i="12"/>
  <c r="I66" i="12"/>
  <c r="I65" i="12"/>
  <c r="I64" i="12"/>
  <c r="I63" i="12"/>
  <c r="I61" i="12"/>
  <c r="I60" i="12"/>
  <c r="I59" i="12"/>
  <c r="I58" i="12"/>
  <c r="C58" i="12"/>
  <c r="I57" i="12"/>
  <c r="I56" i="12"/>
  <c r="I55" i="12"/>
  <c r="I54" i="12"/>
  <c r="I53" i="12"/>
  <c r="I51" i="12"/>
  <c r="I50" i="12"/>
  <c r="I49" i="12"/>
  <c r="I48" i="12"/>
  <c r="C48" i="12"/>
  <c r="I47" i="12"/>
  <c r="I46" i="12"/>
  <c r="I45" i="12"/>
  <c r="I44" i="12"/>
  <c r="I43" i="12"/>
  <c r="I41" i="12"/>
  <c r="I40" i="12"/>
  <c r="I39" i="12"/>
  <c r="I38" i="12"/>
  <c r="C38" i="12"/>
  <c r="I37" i="12"/>
  <c r="I36" i="12"/>
  <c r="I35" i="12"/>
  <c r="I34" i="12"/>
  <c r="I33" i="12"/>
  <c r="I31" i="12"/>
  <c r="I30" i="12"/>
  <c r="I29" i="12"/>
  <c r="I28" i="12"/>
  <c r="C28" i="12"/>
  <c r="I27" i="12"/>
  <c r="I26" i="12"/>
  <c r="I25" i="12"/>
  <c r="I24" i="12"/>
  <c r="I23" i="12"/>
  <c r="I21" i="12"/>
  <c r="I20" i="12"/>
  <c r="I19" i="12"/>
  <c r="I18" i="12"/>
  <c r="C18" i="12"/>
  <c r="I17" i="12"/>
  <c r="I16" i="12"/>
  <c r="H16" i="12"/>
  <c r="I15" i="12"/>
  <c r="I14" i="12"/>
  <c r="I13" i="12"/>
  <c r="I11" i="12"/>
  <c r="I10" i="12"/>
  <c r="I9" i="12"/>
  <c r="B9" i="12"/>
  <c r="I8" i="12"/>
  <c r="H8" i="12"/>
  <c r="C8" i="12"/>
  <c r="I7" i="12"/>
  <c r="I6" i="12"/>
  <c r="H6" i="12"/>
  <c r="I5" i="12"/>
  <c r="I4" i="12"/>
  <c r="I3" i="12"/>
  <c r="G3" i="12"/>
  <c r="I156" i="11"/>
  <c r="I146" i="11"/>
  <c r="I136" i="11"/>
  <c r="I126" i="11"/>
  <c r="I116" i="11"/>
  <c r="I106" i="11"/>
  <c r="I96" i="11"/>
  <c r="I86" i="11"/>
  <c r="I76" i="11"/>
  <c r="I66" i="11"/>
  <c r="I56" i="11"/>
  <c r="I46" i="11"/>
  <c r="I36" i="11"/>
  <c r="I26" i="11"/>
  <c r="I35" i="11"/>
  <c r="I11" i="11"/>
  <c r="I10" i="11"/>
  <c r="I9" i="11"/>
  <c r="I8" i="11"/>
  <c r="I7" i="11"/>
  <c r="I6" i="11"/>
  <c r="I5" i="11"/>
  <c r="I4" i="11"/>
  <c r="I3" i="11"/>
  <c r="I2" i="11"/>
  <c r="I16" i="11"/>
  <c r="H16" i="11"/>
  <c r="H6" i="11"/>
  <c r="I161" i="11"/>
  <c r="I160" i="11"/>
  <c r="I159" i="11"/>
  <c r="I158" i="11"/>
  <c r="C158" i="11"/>
  <c r="I157" i="11"/>
  <c r="I155" i="11"/>
  <c r="I154" i="11"/>
  <c r="I153" i="11"/>
  <c r="I152" i="11"/>
  <c r="I151" i="11"/>
  <c r="I150" i="11"/>
  <c r="I149" i="11"/>
  <c r="I148" i="11"/>
  <c r="C148" i="11"/>
  <c r="I147" i="11"/>
  <c r="I145" i="11"/>
  <c r="I144" i="11"/>
  <c r="I143" i="11"/>
  <c r="I142" i="11"/>
  <c r="I141" i="11"/>
  <c r="I140" i="11"/>
  <c r="I139" i="11"/>
  <c r="I138" i="11"/>
  <c r="C138" i="11"/>
  <c r="I137" i="11"/>
  <c r="I135" i="11"/>
  <c r="I134" i="11"/>
  <c r="I133" i="11"/>
  <c r="I132" i="11"/>
  <c r="I131" i="11"/>
  <c r="I130" i="11"/>
  <c r="I129" i="11"/>
  <c r="I128" i="11"/>
  <c r="C128" i="11"/>
  <c r="I127" i="11"/>
  <c r="I125" i="11"/>
  <c r="I124" i="11"/>
  <c r="I123" i="11"/>
  <c r="I122" i="11"/>
  <c r="I121" i="11"/>
  <c r="I120" i="11"/>
  <c r="I119" i="11"/>
  <c r="I118" i="11"/>
  <c r="C118" i="11"/>
  <c r="I117" i="11"/>
  <c r="I115" i="11"/>
  <c r="I114" i="11"/>
  <c r="I113" i="11"/>
  <c r="I112" i="11"/>
  <c r="I111" i="11"/>
  <c r="I110" i="11"/>
  <c r="I109" i="11"/>
  <c r="I108" i="11"/>
  <c r="C108" i="11"/>
  <c r="I107" i="11"/>
  <c r="I105" i="11"/>
  <c r="I104" i="11"/>
  <c r="I103" i="11"/>
  <c r="I102" i="11"/>
  <c r="I101" i="11"/>
  <c r="I100" i="11"/>
  <c r="I99" i="11"/>
  <c r="I98" i="11"/>
  <c r="C98" i="11"/>
  <c r="I97" i="11"/>
  <c r="I95" i="11"/>
  <c r="I94" i="11"/>
  <c r="I93" i="11"/>
  <c r="I92" i="11"/>
  <c r="I91" i="11"/>
  <c r="I90" i="11"/>
  <c r="I89" i="11"/>
  <c r="I88" i="11"/>
  <c r="C88" i="11"/>
  <c r="I87" i="11"/>
  <c r="I85" i="11"/>
  <c r="I84" i="11"/>
  <c r="I83" i="11"/>
  <c r="I82" i="11"/>
  <c r="I81" i="11"/>
  <c r="I80" i="11"/>
  <c r="I79" i="11"/>
  <c r="I78" i="11"/>
  <c r="C78" i="11"/>
  <c r="I77" i="11"/>
  <c r="I75" i="11"/>
  <c r="I74" i="11"/>
  <c r="I73" i="11"/>
  <c r="I72" i="11"/>
  <c r="I71" i="11"/>
  <c r="I70" i="11"/>
  <c r="I69" i="11"/>
  <c r="I68" i="11"/>
  <c r="C68" i="11"/>
  <c r="I67" i="11"/>
  <c r="I65" i="11"/>
  <c r="I64" i="11"/>
  <c r="I63" i="11"/>
  <c r="I62" i="11"/>
  <c r="I61" i="11"/>
  <c r="I60" i="11"/>
  <c r="I59" i="11"/>
  <c r="I58" i="11"/>
  <c r="C58" i="11"/>
  <c r="I57" i="11"/>
  <c r="I55" i="11"/>
  <c r="I54" i="11"/>
  <c r="I53" i="11"/>
  <c r="I52" i="11"/>
  <c r="I51" i="11"/>
  <c r="I50" i="11"/>
  <c r="I49" i="11"/>
  <c r="I48" i="11"/>
  <c r="C48" i="11"/>
  <c r="I47" i="11"/>
  <c r="I45" i="11"/>
  <c r="I44" i="11"/>
  <c r="I43" i="11"/>
  <c r="I42" i="11"/>
  <c r="I41" i="11"/>
  <c r="I40" i="11"/>
  <c r="I39" i="11"/>
  <c r="I38" i="11"/>
  <c r="C38" i="11"/>
  <c r="I37" i="11"/>
  <c r="I34" i="11"/>
  <c r="I33" i="11"/>
  <c r="I32" i="11"/>
  <c r="I31" i="11"/>
  <c r="I30" i="11"/>
  <c r="I29" i="11"/>
  <c r="I28" i="11"/>
  <c r="C28" i="11"/>
  <c r="I27" i="11"/>
  <c r="I25" i="11"/>
  <c r="I24" i="11"/>
  <c r="I23" i="11"/>
  <c r="I22" i="11"/>
  <c r="I21" i="11"/>
  <c r="I20" i="11"/>
  <c r="I19" i="11"/>
  <c r="I18" i="11"/>
  <c r="C18" i="11"/>
  <c r="I17" i="11"/>
  <c r="I15" i="11"/>
  <c r="H15" i="11"/>
  <c r="I14" i="11"/>
  <c r="I13" i="11"/>
  <c r="I12" i="11"/>
  <c r="B9" i="11"/>
  <c r="H8" i="11"/>
  <c r="C8" i="11"/>
  <c r="H5" i="11"/>
  <c r="G2" i="11"/>
  <c r="C26" i="10"/>
  <c r="E13" i="1"/>
  <c r="N2" i="9" s="1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C13" i="3"/>
  <c r="D13" i="3"/>
  <c r="E13" i="3"/>
  <c r="N4" i="9" s="1"/>
  <c r="F13" i="3"/>
  <c r="G13" i="3"/>
  <c r="H13" i="3"/>
  <c r="I13" i="3"/>
  <c r="J13" i="3"/>
  <c r="K13" i="3"/>
  <c r="L13" i="3"/>
  <c r="B37" i="9" s="1"/>
  <c r="M13" i="3"/>
  <c r="H37" i="9" s="1"/>
  <c r="N13" i="3"/>
  <c r="N37" i="9" s="1"/>
  <c r="O13" i="3"/>
  <c r="P13" i="3"/>
  <c r="H48" i="9" s="1"/>
  <c r="Q13" i="3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C13" i="1"/>
  <c r="D13" i="1"/>
  <c r="F13" i="1"/>
  <c r="G13" i="1"/>
  <c r="H13" i="1"/>
  <c r="I13" i="1"/>
  <c r="J13" i="1"/>
  <c r="K13" i="1"/>
  <c r="L13" i="1"/>
  <c r="M13" i="1"/>
  <c r="N13" i="1"/>
  <c r="O13" i="1"/>
  <c r="P13" i="1"/>
  <c r="Q13" i="1"/>
  <c r="D10" i="9"/>
  <c r="B10" i="9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Q28" i="10"/>
  <c r="P54" i="9" s="1"/>
  <c r="P28" i="10"/>
  <c r="J54" i="9" s="1"/>
  <c r="O28" i="10"/>
  <c r="D54" i="9" s="1"/>
  <c r="N28" i="10"/>
  <c r="P43" i="9" s="1"/>
  <c r="M28" i="10"/>
  <c r="J43" i="9" s="1"/>
  <c r="L28" i="10"/>
  <c r="D43" i="9" s="1"/>
  <c r="K28" i="10"/>
  <c r="P32" i="9" s="1"/>
  <c r="J28" i="10"/>
  <c r="J32" i="9" s="1"/>
  <c r="I28" i="10"/>
  <c r="D32" i="9" s="1"/>
  <c r="H28" i="10"/>
  <c r="P21" i="9" s="1"/>
  <c r="G28" i="10"/>
  <c r="J21" i="9" s="1"/>
  <c r="F28" i="10"/>
  <c r="D21" i="9" s="1"/>
  <c r="E28" i="10"/>
  <c r="D28" i="10"/>
  <c r="J10" i="9" s="1"/>
  <c r="C28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Q20" i="10"/>
  <c r="Q54" i="9" s="1"/>
  <c r="P20" i="10"/>
  <c r="K54" i="9" s="1"/>
  <c r="O20" i="10"/>
  <c r="E54" i="9" s="1"/>
  <c r="N20" i="10"/>
  <c r="Q43" i="9" s="1"/>
  <c r="M20" i="10"/>
  <c r="K43" i="9" s="1"/>
  <c r="L20" i="10"/>
  <c r="E43" i="9" s="1"/>
  <c r="K20" i="10"/>
  <c r="Q32" i="9" s="1"/>
  <c r="J20" i="10"/>
  <c r="K32" i="9" s="1"/>
  <c r="I20" i="10"/>
  <c r="E32" i="9" s="1"/>
  <c r="H20" i="10"/>
  <c r="Q21" i="9" s="1"/>
  <c r="G20" i="10"/>
  <c r="K21" i="9" s="1"/>
  <c r="F20" i="10"/>
  <c r="E21" i="9" s="1"/>
  <c r="E20" i="10"/>
  <c r="D20" i="10"/>
  <c r="K10" i="9" s="1"/>
  <c r="C20" i="10"/>
  <c r="E10" i="9" s="1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Q16" i="10"/>
  <c r="Q26" i="10" s="1"/>
  <c r="O54" i="9" s="1"/>
  <c r="P16" i="10"/>
  <c r="P26" i="10" s="1"/>
  <c r="I54" i="9" s="1"/>
  <c r="O16" i="10"/>
  <c r="O26" i="10" s="1"/>
  <c r="C54" i="9" s="1"/>
  <c r="N16" i="10"/>
  <c r="N26" i="10" s="1"/>
  <c r="O43" i="9" s="1"/>
  <c r="M16" i="10"/>
  <c r="M26" i="10" s="1"/>
  <c r="I43" i="9" s="1"/>
  <c r="L16" i="10"/>
  <c r="L26" i="10" s="1"/>
  <c r="C43" i="9" s="1"/>
  <c r="K16" i="10"/>
  <c r="K26" i="10" s="1"/>
  <c r="O32" i="9" s="1"/>
  <c r="J16" i="10"/>
  <c r="J26" i="10" s="1"/>
  <c r="I32" i="9" s="1"/>
  <c r="I16" i="10"/>
  <c r="I26" i="10" s="1"/>
  <c r="C32" i="9" s="1"/>
  <c r="H16" i="10"/>
  <c r="H26" i="10" s="1"/>
  <c r="O21" i="9" s="1"/>
  <c r="G16" i="10"/>
  <c r="G26" i="10" s="1"/>
  <c r="I21" i="9" s="1"/>
  <c r="F16" i="10"/>
  <c r="F26" i="10" s="1"/>
  <c r="C21" i="9" s="1"/>
  <c r="E16" i="10"/>
  <c r="E26" i="10" s="1"/>
  <c r="D16" i="10"/>
  <c r="D26" i="10" s="1"/>
  <c r="I10" i="9" s="1"/>
  <c r="C16" i="10"/>
  <c r="C10" i="9" s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N54" i="9"/>
  <c r="H54" i="9"/>
  <c r="B54" i="9"/>
  <c r="N43" i="9"/>
  <c r="H43" i="9"/>
  <c r="B43" i="9"/>
  <c r="N32" i="9"/>
  <c r="H32" i="9"/>
  <c r="B32" i="9"/>
  <c r="N21" i="9"/>
  <c r="H21" i="9"/>
  <c r="B21" i="9"/>
  <c r="H10" i="9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Q26" i="5"/>
  <c r="P26" i="5"/>
  <c r="O26" i="5"/>
  <c r="N26" i="5"/>
  <c r="M26" i="5"/>
  <c r="L26" i="5"/>
  <c r="K26" i="5"/>
  <c r="J26" i="5"/>
  <c r="O26" i="3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P51" i="9"/>
  <c r="J51" i="9"/>
  <c r="D51" i="9"/>
  <c r="P40" i="9"/>
  <c r="J40" i="9"/>
  <c r="D40" i="9"/>
  <c r="P29" i="9"/>
  <c r="J29" i="9"/>
  <c r="D29" i="9"/>
  <c r="P18" i="9"/>
  <c r="J18" i="9"/>
  <c r="D18" i="9"/>
  <c r="P7" i="9"/>
  <c r="J7" i="9"/>
  <c r="D7" i="9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Q28" i="8"/>
  <c r="P53" i="9" s="1"/>
  <c r="P28" i="8"/>
  <c r="J53" i="9" s="1"/>
  <c r="O28" i="8"/>
  <c r="D53" i="9" s="1"/>
  <c r="N28" i="8"/>
  <c r="P42" i="9" s="1"/>
  <c r="M28" i="8"/>
  <c r="J42" i="9" s="1"/>
  <c r="L28" i="8"/>
  <c r="D42" i="9" s="1"/>
  <c r="K28" i="8"/>
  <c r="P31" i="9" s="1"/>
  <c r="J28" i="8"/>
  <c r="J31" i="9" s="1"/>
  <c r="I28" i="8"/>
  <c r="D31" i="9" s="1"/>
  <c r="H28" i="8"/>
  <c r="P20" i="9" s="1"/>
  <c r="G28" i="8"/>
  <c r="J20" i="9" s="1"/>
  <c r="F28" i="8"/>
  <c r="D20" i="9" s="1"/>
  <c r="E28" i="8"/>
  <c r="P9" i="9" s="1"/>
  <c r="D28" i="8"/>
  <c r="J9" i="9" s="1"/>
  <c r="C28" i="8"/>
  <c r="D9" i="9" s="1"/>
  <c r="D65" i="9" s="1"/>
  <c r="D9" i="13" s="1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N53" i="9"/>
  <c r="H53" i="9"/>
  <c r="B53" i="9"/>
  <c r="N42" i="9"/>
  <c r="H42" i="9"/>
  <c r="B42" i="9"/>
  <c r="N31" i="9"/>
  <c r="H31" i="9"/>
  <c r="B31" i="9"/>
  <c r="N20" i="9"/>
  <c r="H20" i="9"/>
  <c r="B20" i="9"/>
  <c r="N9" i="9"/>
  <c r="H9" i="9"/>
  <c r="B9" i="9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Q28" i="7"/>
  <c r="P52" i="9" s="1"/>
  <c r="P28" i="7"/>
  <c r="J52" i="9" s="1"/>
  <c r="O28" i="7"/>
  <c r="D52" i="9" s="1"/>
  <c r="N28" i="7"/>
  <c r="P41" i="9" s="1"/>
  <c r="M28" i="7"/>
  <c r="J41" i="9" s="1"/>
  <c r="L28" i="7"/>
  <c r="D41" i="9" s="1"/>
  <c r="K28" i="7"/>
  <c r="P30" i="9" s="1"/>
  <c r="J28" i="7"/>
  <c r="J30" i="9" s="1"/>
  <c r="I28" i="7"/>
  <c r="D30" i="9" s="1"/>
  <c r="H28" i="7"/>
  <c r="P19" i="9" s="1"/>
  <c r="G28" i="7"/>
  <c r="J19" i="9" s="1"/>
  <c r="F28" i="7"/>
  <c r="D19" i="9" s="1"/>
  <c r="E28" i="7"/>
  <c r="P8" i="9" s="1"/>
  <c r="D28" i="7"/>
  <c r="J8" i="9" s="1"/>
  <c r="C28" i="7"/>
  <c r="D8" i="9" s="1"/>
  <c r="D64" i="9" s="1"/>
  <c r="D8" i="13" s="1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N52" i="9"/>
  <c r="H52" i="9"/>
  <c r="B52" i="9"/>
  <c r="N41" i="9"/>
  <c r="H41" i="9"/>
  <c r="B41" i="9"/>
  <c r="N30" i="9"/>
  <c r="H30" i="9"/>
  <c r="B30" i="9"/>
  <c r="N19" i="9"/>
  <c r="H19" i="9"/>
  <c r="B19" i="9"/>
  <c r="N8" i="9"/>
  <c r="H8" i="9"/>
  <c r="B8" i="9"/>
  <c r="B64" i="9" s="1"/>
  <c r="B8" i="13" s="1"/>
  <c r="Q29" i="6"/>
  <c r="P29" i="6"/>
  <c r="D29" i="6"/>
  <c r="C29" i="6"/>
  <c r="Q25" i="6"/>
  <c r="P25" i="6"/>
  <c r="Q23" i="6"/>
  <c r="P23" i="6"/>
  <c r="Q22" i="6"/>
  <c r="P22" i="6"/>
  <c r="Q20" i="6"/>
  <c r="P20" i="6"/>
  <c r="Q19" i="6"/>
  <c r="P19" i="6"/>
  <c r="Q18" i="6"/>
  <c r="P18" i="6"/>
  <c r="Q17" i="6"/>
  <c r="P17" i="6"/>
  <c r="Q16" i="6"/>
  <c r="P16" i="6"/>
  <c r="Q15" i="6"/>
  <c r="P15" i="6"/>
  <c r="D25" i="6"/>
  <c r="C25" i="6"/>
  <c r="D23" i="6"/>
  <c r="C23" i="6"/>
  <c r="D22" i="6"/>
  <c r="C22" i="6"/>
  <c r="D20" i="6"/>
  <c r="C20" i="6"/>
  <c r="D19" i="6"/>
  <c r="C19" i="6"/>
  <c r="D18" i="6"/>
  <c r="C18" i="6"/>
  <c r="D17" i="6"/>
  <c r="C17" i="6"/>
  <c r="D16" i="6"/>
  <c r="C16" i="6"/>
  <c r="D15" i="6"/>
  <c r="C15" i="6"/>
  <c r="O23" i="6"/>
  <c r="N23" i="6"/>
  <c r="M23" i="6"/>
  <c r="L23" i="6"/>
  <c r="K23" i="6"/>
  <c r="J23" i="6"/>
  <c r="I23" i="6"/>
  <c r="H23" i="6"/>
  <c r="G23" i="6"/>
  <c r="F23" i="6"/>
  <c r="E23" i="6"/>
  <c r="O22" i="6"/>
  <c r="N22" i="6"/>
  <c r="M22" i="6"/>
  <c r="L22" i="6"/>
  <c r="K22" i="6"/>
  <c r="J22" i="6"/>
  <c r="I22" i="6"/>
  <c r="H22" i="6"/>
  <c r="G22" i="6"/>
  <c r="F22" i="6"/>
  <c r="E22" i="6"/>
  <c r="N51" i="9"/>
  <c r="H51" i="9"/>
  <c r="B51" i="9"/>
  <c r="N40" i="9"/>
  <c r="H40" i="9"/>
  <c r="B40" i="9"/>
  <c r="H29" i="9"/>
  <c r="B29" i="9"/>
  <c r="N18" i="9"/>
  <c r="H18" i="9"/>
  <c r="B18" i="9"/>
  <c r="N7" i="9"/>
  <c r="H7" i="9"/>
  <c r="B7" i="9"/>
  <c r="N50" i="9"/>
  <c r="H50" i="9"/>
  <c r="B50" i="9"/>
  <c r="N39" i="9"/>
  <c r="H39" i="9"/>
  <c r="B39" i="9"/>
  <c r="N28" i="9"/>
  <c r="H28" i="9"/>
  <c r="B28" i="9"/>
  <c r="N17" i="9"/>
  <c r="H17" i="9"/>
  <c r="B17" i="9"/>
  <c r="N6" i="9"/>
  <c r="H6" i="9"/>
  <c r="B6" i="9"/>
  <c r="B62" i="9" s="1"/>
  <c r="B6" i="13" s="1"/>
  <c r="N48" i="9"/>
  <c r="B48" i="9"/>
  <c r="N26" i="9"/>
  <c r="H26" i="9"/>
  <c r="B26" i="9"/>
  <c r="N15" i="9"/>
  <c r="H15" i="9"/>
  <c r="B15" i="9"/>
  <c r="H4" i="9"/>
  <c r="B4" i="9"/>
  <c r="B60" i="9" s="1"/>
  <c r="B4" i="13" s="1"/>
  <c r="N47" i="9"/>
  <c r="H47" i="9"/>
  <c r="B47" i="9"/>
  <c r="N36" i="9"/>
  <c r="H36" i="9"/>
  <c r="B36" i="9"/>
  <c r="N25" i="9"/>
  <c r="H25" i="9"/>
  <c r="B25" i="9"/>
  <c r="N14" i="9"/>
  <c r="H14" i="9"/>
  <c r="B14" i="9"/>
  <c r="N3" i="9"/>
  <c r="H3" i="9"/>
  <c r="B3" i="9"/>
  <c r="B59" i="9" s="1"/>
  <c r="B3" i="13" s="1"/>
  <c r="N46" i="9"/>
  <c r="H46" i="9"/>
  <c r="B46" i="9"/>
  <c r="N35" i="9"/>
  <c r="H35" i="9"/>
  <c r="B35" i="9"/>
  <c r="H24" i="9"/>
  <c r="B24" i="9"/>
  <c r="N13" i="9"/>
  <c r="H13" i="9"/>
  <c r="B13" i="9"/>
  <c r="H2" i="9"/>
  <c r="B2" i="9"/>
  <c r="N49" i="9"/>
  <c r="H49" i="9"/>
  <c r="B49" i="9"/>
  <c r="N38" i="9"/>
  <c r="H38" i="9"/>
  <c r="B38" i="9"/>
  <c r="N27" i="9"/>
  <c r="H27" i="9"/>
  <c r="B27" i="9"/>
  <c r="N16" i="9"/>
  <c r="H16" i="9"/>
  <c r="B16" i="9"/>
  <c r="N5" i="9"/>
  <c r="H5" i="9"/>
  <c r="B5" i="9"/>
  <c r="B61" i="9" s="1"/>
  <c r="B5" i="13" s="1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9" i="5"/>
  <c r="P29" i="5"/>
  <c r="Q28" i="5"/>
  <c r="P50" i="9" s="1"/>
  <c r="P28" i="5"/>
  <c r="J50" i="9" s="1"/>
  <c r="Q25" i="5"/>
  <c r="P25" i="5"/>
  <c r="Q24" i="5"/>
  <c r="P24" i="5"/>
  <c r="Q20" i="5"/>
  <c r="P20" i="5"/>
  <c r="Q19" i="5"/>
  <c r="P19" i="5"/>
  <c r="Q18" i="5"/>
  <c r="P18" i="5"/>
  <c r="Q17" i="5"/>
  <c r="P17" i="5"/>
  <c r="Q16" i="5"/>
  <c r="P16" i="5"/>
  <c r="Q15" i="5"/>
  <c r="P15" i="5"/>
  <c r="D29" i="5"/>
  <c r="C29" i="5"/>
  <c r="D28" i="5"/>
  <c r="J6" i="9" s="1"/>
  <c r="C28" i="5"/>
  <c r="D6" i="9" s="1"/>
  <c r="D25" i="5"/>
  <c r="C25" i="5"/>
  <c r="D24" i="5"/>
  <c r="C24" i="5"/>
  <c r="D20" i="5"/>
  <c r="C20" i="5"/>
  <c r="D19" i="5"/>
  <c r="C19" i="5"/>
  <c r="D18" i="5"/>
  <c r="C18" i="5"/>
  <c r="D17" i="5"/>
  <c r="C17" i="5"/>
  <c r="D16" i="5"/>
  <c r="C16" i="5"/>
  <c r="D15" i="5"/>
  <c r="C15" i="5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Q29" i="4"/>
  <c r="P29" i="4"/>
  <c r="Q28" i="4"/>
  <c r="P49" i="9" s="1"/>
  <c r="P28" i="4"/>
  <c r="J49" i="9" s="1"/>
  <c r="Q25" i="4"/>
  <c r="P25" i="4"/>
  <c r="Q24" i="4"/>
  <c r="P24" i="4"/>
  <c r="Q20" i="4"/>
  <c r="P20" i="4"/>
  <c r="Q19" i="4"/>
  <c r="P19" i="4"/>
  <c r="Q18" i="4"/>
  <c r="P18" i="4"/>
  <c r="Q17" i="4"/>
  <c r="P17" i="4"/>
  <c r="Q16" i="4"/>
  <c r="Q26" i="4" s="1"/>
  <c r="P16" i="4"/>
  <c r="P26" i="4" s="1"/>
  <c r="Q15" i="4"/>
  <c r="P15" i="4"/>
  <c r="D29" i="4"/>
  <c r="C29" i="4"/>
  <c r="D28" i="4"/>
  <c r="J5" i="9" s="1"/>
  <c r="C28" i="4"/>
  <c r="D5" i="9" s="1"/>
  <c r="D25" i="4"/>
  <c r="C25" i="4"/>
  <c r="D24" i="4"/>
  <c r="C24" i="4"/>
  <c r="D20" i="4"/>
  <c r="C20" i="4"/>
  <c r="D19" i="4"/>
  <c r="C19" i="4"/>
  <c r="D18" i="4"/>
  <c r="C18" i="4"/>
  <c r="D17" i="4"/>
  <c r="C17" i="4"/>
  <c r="D16" i="4"/>
  <c r="C16" i="4"/>
  <c r="D15" i="4"/>
  <c r="C15" i="4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Q29" i="3"/>
  <c r="P29" i="3"/>
  <c r="Q28" i="3"/>
  <c r="P48" i="9" s="1"/>
  <c r="P28" i="3"/>
  <c r="J48" i="9" s="1"/>
  <c r="Q25" i="3"/>
  <c r="P25" i="3"/>
  <c r="Q20" i="3"/>
  <c r="P20" i="3"/>
  <c r="Q19" i="3"/>
  <c r="P19" i="3"/>
  <c r="Q18" i="3"/>
  <c r="Q26" i="3" s="1"/>
  <c r="P18" i="3"/>
  <c r="P26" i="3" s="1"/>
  <c r="Q17" i="3"/>
  <c r="P17" i="3"/>
  <c r="Q16" i="3"/>
  <c r="P16" i="3"/>
  <c r="Q15" i="3"/>
  <c r="P15" i="3"/>
  <c r="D29" i="3"/>
  <c r="C29" i="3"/>
  <c r="D28" i="3"/>
  <c r="J4" i="9" s="1"/>
  <c r="C28" i="3"/>
  <c r="D4" i="9" s="1"/>
  <c r="D25" i="3"/>
  <c r="C25" i="3"/>
  <c r="D20" i="3"/>
  <c r="C20" i="3"/>
  <c r="D19" i="3"/>
  <c r="C19" i="3"/>
  <c r="D18" i="3"/>
  <c r="C18" i="3"/>
  <c r="D17" i="3"/>
  <c r="C17" i="3"/>
  <c r="D16" i="3"/>
  <c r="C16" i="3"/>
  <c r="D15" i="3"/>
  <c r="C15" i="3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Q29" i="2"/>
  <c r="P29" i="2"/>
  <c r="Q28" i="2"/>
  <c r="P47" i="9" s="1"/>
  <c r="P28" i="2"/>
  <c r="J47" i="9" s="1"/>
  <c r="Q25" i="2"/>
  <c r="P25" i="2"/>
  <c r="Q20" i="2"/>
  <c r="Q47" i="9" s="1"/>
  <c r="P20" i="2"/>
  <c r="K47" i="9" s="1"/>
  <c r="Q19" i="2"/>
  <c r="P19" i="2"/>
  <c r="Q18" i="2"/>
  <c r="P18" i="2"/>
  <c r="Q17" i="2"/>
  <c r="P17" i="2"/>
  <c r="Q16" i="2"/>
  <c r="P16" i="2"/>
  <c r="Q15" i="2"/>
  <c r="P15" i="2"/>
  <c r="D29" i="2"/>
  <c r="C29" i="2"/>
  <c r="D28" i="2"/>
  <c r="J3" i="9" s="1"/>
  <c r="C28" i="2"/>
  <c r="D3" i="9" s="1"/>
  <c r="D25" i="2"/>
  <c r="C25" i="2"/>
  <c r="D20" i="2"/>
  <c r="K3" i="9" s="1"/>
  <c r="C20" i="2"/>
  <c r="D19" i="2"/>
  <c r="C19" i="2"/>
  <c r="D18" i="2"/>
  <c r="C18" i="2"/>
  <c r="D17" i="2"/>
  <c r="C17" i="2"/>
  <c r="D16" i="2"/>
  <c r="C16" i="2"/>
  <c r="C26" i="2" s="1"/>
  <c r="D15" i="2"/>
  <c r="C15" i="2"/>
  <c r="Q28" i="1"/>
  <c r="P46" i="9" s="1"/>
  <c r="P28" i="1"/>
  <c r="J46" i="9" s="1"/>
  <c r="Q25" i="1"/>
  <c r="P25" i="1"/>
  <c r="Q24" i="1"/>
  <c r="P24" i="1"/>
  <c r="Q20" i="1"/>
  <c r="P20" i="1"/>
  <c r="Q19" i="1"/>
  <c r="P19" i="1"/>
  <c r="Q18" i="1"/>
  <c r="P18" i="1"/>
  <c r="Q17" i="1"/>
  <c r="P17" i="1"/>
  <c r="Q16" i="1"/>
  <c r="Q26" i="1" s="1"/>
  <c r="P16" i="1"/>
  <c r="P26" i="1" s="1"/>
  <c r="Q15" i="1"/>
  <c r="P15" i="1"/>
  <c r="D28" i="1"/>
  <c r="J2" i="9" s="1"/>
  <c r="C28" i="1"/>
  <c r="D2" i="9" s="1"/>
  <c r="D25" i="1"/>
  <c r="C25" i="1"/>
  <c r="D24" i="1"/>
  <c r="C24" i="1"/>
  <c r="D20" i="1"/>
  <c r="C20" i="1"/>
  <c r="D19" i="1"/>
  <c r="C19" i="1"/>
  <c r="D18" i="1"/>
  <c r="C18" i="1"/>
  <c r="D17" i="1"/>
  <c r="C17" i="1"/>
  <c r="D16" i="1"/>
  <c r="C16" i="1"/>
  <c r="D15" i="1"/>
  <c r="C15" i="1"/>
  <c r="F28" i="1"/>
  <c r="D13" i="9" s="1"/>
  <c r="G28" i="1"/>
  <c r="J13" i="9" s="1"/>
  <c r="H28" i="1"/>
  <c r="P13" i="9" s="1"/>
  <c r="I28" i="1"/>
  <c r="D24" i="9" s="1"/>
  <c r="J28" i="1"/>
  <c r="J24" i="9" s="1"/>
  <c r="K28" i="1"/>
  <c r="P24" i="9" s="1"/>
  <c r="L28" i="1"/>
  <c r="D35" i="9" s="1"/>
  <c r="M28" i="1"/>
  <c r="J35" i="9" s="1"/>
  <c r="N28" i="1"/>
  <c r="P35" i="9" s="1"/>
  <c r="O28" i="1"/>
  <c r="D46" i="9" s="1"/>
  <c r="E28" i="1"/>
  <c r="P2" i="9" s="1"/>
  <c r="F15" i="1"/>
  <c r="G15" i="1"/>
  <c r="H15" i="1"/>
  <c r="I15" i="1"/>
  <c r="J15" i="1"/>
  <c r="K15" i="1"/>
  <c r="L15" i="1"/>
  <c r="M15" i="1"/>
  <c r="N15" i="1"/>
  <c r="O15" i="1"/>
  <c r="F16" i="1"/>
  <c r="G16" i="1"/>
  <c r="H16" i="1"/>
  <c r="I16" i="1"/>
  <c r="J16" i="1"/>
  <c r="K16" i="1"/>
  <c r="L16" i="1"/>
  <c r="M16" i="1"/>
  <c r="N16" i="1"/>
  <c r="O16" i="1"/>
  <c r="F17" i="1"/>
  <c r="G17" i="1"/>
  <c r="H17" i="1"/>
  <c r="I17" i="1"/>
  <c r="J17" i="1"/>
  <c r="K17" i="1"/>
  <c r="L17" i="1"/>
  <c r="M17" i="1"/>
  <c r="N17" i="1"/>
  <c r="O17" i="1"/>
  <c r="F18" i="1"/>
  <c r="G18" i="1"/>
  <c r="H18" i="1"/>
  <c r="I18" i="1"/>
  <c r="J18" i="1"/>
  <c r="K18" i="1"/>
  <c r="L18" i="1"/>
  <c r="M18" i="1"/>
  <c r="N18" i="1"/>
  <c r="O18" i="1"/>
  <c r="F19" i="1"/>
  <c r="G19" i="1"/>
  <c r="H19" i="1"/>
  <c r="I19" i="1"/>
  <c r="J19" i="1"/>
  <c r="K19" i="1"/>
  <c r="L19" i="1"/>
  <c r="M19" i="1"/>
  <c r="N19" i="1"/>
  <c r="O19" i="1"/>
  <c r="F20" i="1"/>
  <c r="G20" i="1"/>
  <c r="H20" i="1"/>
  <c r="I20" i="1"/>
  <c r="J20" i="1"/>
  <c r="K20" i="1"/>
  <c r="L20" i="1"/>
  <c r="M20" i="1"/>
  <c r="N20" i="1"/>
  <c r="O20" i="1"/>
  <c r="F24" i="1"/>
  <c r="G24" i="1"/>
  <c r="H24" i="1"/>
  <c r="I24" i="1"/>
  <c r="J24" i="1"/>
  <c r="K24" i="1"/>
  <c r="L24" i="1"/>
  <c r="M24" i="1"/>
  <c r="N24" i="1"/>
  <c r="O24" i="1"/>
  <c r="F25" i="1"/>
  <c r="G25" i="1"/>
  <c r="H25" i="1"/>
  <c r="I25" i="1"/>
  <c r="J25" i="1"/>
  <c r="K25" i="1"/>
  <c r="L25" i="1"/>
  <c r="M25" i="1"/>
  <c r="N25" i="1"/>
  <c r="O25" i="1"/>
  <c r="E17" i="1"/>
  <c r="E18" i="1"/>
  <c r="E19" i="1"/>
  <c r="E20" i="1"/>
  <c r="E24" i="1"/>
  <c r="E25" i="1"/>
  <c r="E16" i="1"/>
  <c r="E15" i="1"/>
  <c r="E29" i="6"/>
  <c r="F29" i="6"/>
  <c r="G29" i="6"/>
  <c r="H29" i="6"/>
  <c r="I29" i="6"/>
  <c r="J29" i="6"/>
  <c r="K29" i="6"/>
  <c r="L29" i="6"/>
  <c r="M29" i="6"/>
  <c r="N29" i="6"/>
  <c r="O29" i="6"/>
  <c r="E28" i="5"/>
  <c r="P6" i="9" s="1"/>
  <c r="F28" i="5"/>
  <c r="D17" i="9" s="1"/>
  <c r="G28" i="5"/>
  <c r="J17" i="9" s="1"/>
  <c r="H28" i="5"/>
  <c r="P17" i="9" s="1"/>
  <c r="I28" i="5"/>
  <c r="D28" i="9" s="1"/>
  <c r="J28" i="5"/>
  <c r="J28" i="9" s="1"/>
  <c r="K28" i="5"/>
  <c r="P28" i="9" s="1"/>
  <c r="L28" i="5"/>
  <c r="D39" i="9" s="1"/>
  <c r="M28" i="5"/>
  <c r="J39" i="9" s="1"/>
  <c r="N28" i="5"/>
  <c r="P39" i="9" s="1"/>
  <c r="O28" i="5"/>
  <c r="D50" i="9" s="1"/>
  <c r="E29" i="5"/>
  <c r="F29" i="5"/>
  <c r="G29" i="5"/>
  <c r="H29" i="5"/>
  <c r="I29" i="5"/>
  <c r="J29" i="5"/>
  <c r="K29" i="5"/>
  <c r="L29" i="5"/>
  <c r="M29" i="5"/>
  <c r="N29" i="5"/>
  <c r="O29" i="5"/>
  <c r="E28" i="4"/>
  <c r="P5" i="9" s="1"/>
  <c r="F28" i="4"/>
  <c r="D16" i="9" s="1"/>
  <c r="G28" i="4"/>
  <c r="J16" i="9" s="1"/>
  <c r="H28" i="4"/>
  <c r="P16" i="9" s="1"/>
  <c r="I28" i="4"/>
  <c r="D27" i="9" s="1"/>
  <c r="J28" i="4"/>
  <c r="J27" i="9" s="1"/>
  <c r="K28" i="4"/>
  <c r="P27" i="9" s="1"/>
  <c r="L28" i="4"/>
  <c r="D38" i="9" s="1"/>
  <c r="M28" i="4"/>
  <c r="J38" i="9" s="1"/>
  <c r="N28" i="4"/>
  <c r="P38" i="9" s="1"/>
  <c r="O28" i="4"/>
  <c r="D49" i="9" s="1"/>
  <c r="E29" i="4"/>
  <c r="F29" i="4"/>
  <c r="G29" i="4"/>
  <c r="H29" i="4"/>
  <c r="I29" i="4"/>
  <c r="J29" i="4"/>
  <c r="K29" i="4"/>
  <c r="L29" i="4"/>
  <c r="M29" i="4"/>
  <c r="N29" i="4"/>
  <c r="O29" i="4"/>
  <c r="E28" i="3"/>
  <c r="P4" i="9" s="1"/>
  <c r="F28" i="3"/>
  <c r="D15" i="9" s="1"/>
  <c r="G28" i="3"/>
  <c r="J15" i="9" s="1"/>
  <c r="H28" i="3"/>
  <c r="P15" i="9" s="1"/>
  <c r="I28" i="3"/>
  <c r="D26" i="9" s="1"/>
  <c r="J28" i="3"/>
  <c r="J26" i="9" s="1"/>
  <c r="K28" i="3"/>
  <c r="P26" i="9" s="1"/>
  <c r="L28" i="3"/>
  <c r="D37" i="9" s="1"/>
  <c r="M28" i="3"/>
  <c r="J37" i="9" s="1"/>
  <c r="N28" i="3"/>
  <c r="P37" i="9" s="1"/>
  <c r="O28" i="3"/>
  <c r="D48" i="9" s="1"/>
  <c r="E29" i="3"/>
  <c r="F29" i="3"/>
  <c r="G29" i="3"/>
  <c r="H29" i="3"/>
  <c r="I29" i="3"/>
  <c r="J29" i="3"/>
  <c r="K29" i="3"/>
  <c r="L29" i="3"/>
  <c r="M29" i="3"/>
  <c r="N29" i="3"/>
  <c r="O29" i="3"/>
  <c r="E28" i="2"/>
  <c r="P3" i="9" s="1"/>
  <c r="F28" i="2"/>
  <c r="D14" i="9" s="1"/>
  <c r="G28" i="2"/>
  <c r="J14" i="9" s="1"/>
  <c r="H28" i="2"/>
  <c r="P14" i="9" s="1"/>
  <c r="I28" i="2"/>
  <c r="D25" i="9" s="1"/>
  <c r="J28" i="2"/>
  <c r="J25" i="9" s="1"/>
  <c r="K28" i="2"/>
  <c r="P25" i="9" s="1"/>
  <c r="L28" i="2"/>
  <c r="D36" i="9" s="1"/>
  <c r="M28" i="2"/>
  <c r="J36" i="9" s="1"/>
  <c r="N28" i="2"/>
  <c r="P36" i="9" s="1"/>
  <c r="O28" i="2"/>
  <c r="D47" i="9" s="1"/>
  <c r="E29" i="2"/>
  <c r="F29" i="2"/>
  <c r="G29" i="2"/>
  <c r="H29" i="2"/>
  <c r="I29" i="2"/>
  <c r="J29" i="2"/>
  <c r="K29" i="2"/>
  <c r="L29" i="2"/>
  <c r="M29" i="2"/>
  <c r="N29" i="2"/>
  <c r="O29" i="2"/>
  <c r="O25" i="6"/>
  <c r="N25" i="6"/>
  <c r="M25" i="6"/>
  <c r="L25" i="6"/>
  <c r="K25" i="6"/>
  <c r="J25" i="6"/>
  <c r="I25" i="6"/>
  <c r="H25" i="6"/>
  <c r="G25" i="6"/>
  <c r="F25" i="6"/>
  <c r="E25" i="6"/>
  <c r="O20" i="6"/>
  <c r="N20" i="6"/>
  <c r="M20" i="6"/>
  <c r="L20" i="6"/>
  <c r="K20" i="6"/>
  <c r="J20" i="6"/>
  <c r="I20" i="6"/>
  <c r="H20" i="6"/>
  <c r="G20" i="6"/>
  <c r="F20" i="6"/>
  <c r="E20" i="6"/>
  <c r="O19" i="6"/>
  <c r="N19" i="6"/>
  <c r="M19" i="6"/>
  <c r="L19" i="6"/>
  <c r="K19" i="6"/>
  <c r="J19" i="6"/>
  <c r="I19" i="6"/>
  <c r="H19" i="6"/>
  <c r="G19" i="6"/>
  <c r="F19" i="6"/>
  <c r="E19" i="6"/>
  <c r="O18" i="6"/>
  <c r="N18" i="6"/>
  <c r="M18" i="6"/>
  <c r="L18" i="6"/>
  <c r="K18" i="6"/>
  <c r="J18" i="6"/>
  <c r="I18" i="6"/>
  <c r="H18" i="6"/>
  <c r="G18" i="6"/>
  <c r="F18" i="6"/>
  <c r="E18" i="6"/>
  <c r="O17" i="6"/>
  <c r="N17" i="6"/>
  <c r="M17" i="6"/>
  <c r="L17" i="6"/>
  <c r="K17" i="6"/>
  <c r="J17" i="6"/>
  <c r="I17" i="6"/>
  <c r="H17" i="6"/>
  <c r="G17" i="6"/>
  <c r="F17" i="6"/>
  <c r="E17" i="6"/>
  <c r="O16" i="6"/>
  <c r="N16" i="6"/>
  <c r="M16" i="6"/>
  <c r="L16" i="6"/>
  <c r="K16" i="6"/>
  <c r="J16" i="6"/>
  <c r="I16" i="6"/>
  <c r="H16" i="6"/>
  <c r="G16" i="6"/>
  <c r="F16" i="6"/>
  <c r="E16" i="6"/>
  <c r="O15" i="6"/>
  <c r="N15" i="6"/>
  <c r="M15" i="6"/>
  <c r="L15" i="6"/>
  <c r="K15" i="6"/>
  <c r="J15" i="6"/>
  <c r="I15" i="6"/>
  <c r="H15" i="6"/>
  <c r="G15" i="6"/>
  <c r="F15" i="6"/>
  <c r="E15" i="6"/>
  <c r="O25" i="5"/>
  <c r="N25" i="5"/>
  <c r="M25" i="5"/>
  <c r="L25" i="5"/>
  <c r="K25" i="5"/>
  <c r="J25" i="5"/>
  <c r="I25" i="5"/>
  <c r="H25" i="5"/>
  <c r="G25" i="5"/>
  <c r="F25" i="5"/>
  <c r="E25" i="5"/>
  <c r="O24" i="5"/>
  <c r="N24" i="5"/>
  <c r="M24" i="5"/>
  <c r="L24" i="5"/>
  <c r="K24" i="5"/>
  <c r="J24" i="5"/>
  <c r="I24" i="5"/>
  <c r="H24" i="5"/>
  <c r="G24" i="5"/>
  <c r="F24" i="5"/>
  <c r="E24" i="5"/>
  <c r="O20" i="5"/>
  <c r="N20" i="5"/>
  <c r="M20" i="5"/>
  <c r="L20" i="5"/>
  <c r="K20" i="5"/>
  <c r="J20" i="5"/>
  <c r="I20" i="5"/>
  <c r="H20" i="5"/>
  <c r="G20" i="5"/>
  <c r="F20" i="5"/>
  <c r="E20" i="5"/>
  <c r="O19" i="5"/>
  <c r="N19" i="5"/>
  <c r="M19" i="5"/>
  <c r="L19" i="5"/>
  <c r="K19" i="5"/>
  <c r="J19" i="5"/>
  <c r="I19" i="5"/>
  <c r="H19" i="5"/>
  <c r="G19" i="5"/>
  <c r="F19" i="5"/>
  <c r="E19" i="5"/>
  <c r="O18" i="5"/>
  <c r="N18" i="5"/>
  <c r="M18" i="5"/>
  <c r="L18" i="5"/>
  <c r="K18" i="5"/>
  <c r="J18" i="5"/>
  <c r="I18" i="5"/>
  <c r="H18" i="5"/>
  <c r="G18" i="5"/>
  <c r="F18" i="5"/>
  <c r="E18" i="5"/>
  <c r="O17" i="5"/>
  <c r="N17" i="5"/>
  <c r="M17" i="5"/>
  <c r="L17" i="5"/>
  <c r="K17" i="5"/>
  <c r="J17" i="5"/>
  <c r="I17" i="5"/>
  <c r="H17" i="5"/>
  <c r="G17" i="5"/>
  <c r="F17" i="5"/>
  <c r="E17" i="5"/>
  <c r="O16" i="5"/>
  <c r="N16" i="5"/>
  <c r="M16" i="5"/>
  <c r="L16" i="5"/>
  <c r="K16" i="5"/>
  <c r="J16" i="5"/>
  <c r="I16" i="5"/>
  <c r="H16" i="5"/>
  <c r="G16" i="5"/>
  <c r="F16" i="5"/>
  <c r="E16" i="5"/>
  <c r="O15" i="5"/>
  <c r="N15" i="5"/>
  <c r="M15" i="5"/>
  <c r="L15" i="5"/>
  <c r="K15" i="5"/>
  <c r="J15" i="5"/>
  <c r="I15" i="5"/>
  <c r="H15" i="5"/>
  <c r="G15" i="5"/>
  <c r="F15" i="5"/>
  <c r="E15" i="5"/>
  <c r="O25" i="4"/>
  <c r="N25" i="4"/>
  <c r="M25" i="4"/>
  <c r="L25" i="4"/>
  <c r="K25" i="4"/>
  <c r="J25" i="4"/>
  <c r="I25" i="4"/>
  <c r="H25" i="4"/>
  <c r="G25" i="4"/>
  <c r="F25" i="4"/>
  <c r="E25" i="4"/>
  <c r="O24" i="4"/>
  <c r="N24" i="4"/>
  <c r="M24" i="4"/>
  <c r="L24" i="4"/>
  <c r="K24" i="4"/>
  <c r="J24" i="4"/>
  <c r="I24" i="4"/>
  <c r="H24" i="4"/>
  <c r="G24" i="4"/>
  <c r="F24" i="4"/>
  <c r="E24" i="4"/>
  <c r="O20" i="4"/>
  <c r="N20" i="4"/>
  <c r="M20" i="4"/>
  <c r="L20" i="4"/>
  <c r="K20" i="4"/>
  <c r="J20" i="4"/>
  <c r="I20" i="4"/>
  <c r="H20" i="4"/>
  <c r="G20" i="4"/>
  <c r="F20" i="4"/>
  <c r="E20" i="4"/>
  <c r="O19" i="4"/>
  <c r="N19" i="4"/>
  <c r="M19" i="4"/>
  <c r="L19" i="4"/>
  <c r="K19" i="4"/>
  <c r="J19" i="4"/>
  <c r="I19" i="4"/>
  <c r="H19" i="4"/>
  <c r="G19" i="4"/>
  <c r="F19" i="4"/>
  <c r="E19" i="4"/>
  <c r="O18" i="4"/>
  <c r="N18" i="4"/>
  <c r="M18" i="4"/>
  <c r="L18" i="4"/>
  <c r="K18" i="4"/>
  <c r="J18" i="4"/>
  <c r="I18" i="4"/>
  <c r="H18" i="4"/>
  <c r="G18" i="4"/>
  <c r="F18" i="4"/>
  <c r="E18" i="4"/>
  <c r="O17" i="4"/>
  <c r="N17" i="4"/>
  <c r="M17" i="4"/>
  <c r="L17" i="4"/>
  <c r="K17" i="4"/>
  <c r="J17" i="4"/>
  <c r="I17" i="4"/>
  <c r="H17" i="4"/>
  <c r="G17" i="4"/>
  <c r="F17" i="4"/>
  <c r="E17" i="4"/>
  <c r="O16" i="4"/>
  <c r="O26" i="4" s="1"/>
  <c r="N16" i="4"/>
  <c r="N26" i="4" s="1"/>
  <c r="M16" i="4"/>
  <c r="M26" i="4" s="1"/>
  <c r="L16" i="4"/>
  <c r="L26" i="4" s="1"/>
  <c r="K16" i="4"/>
  <c r="K26" i="4" s="1"/>
  <c r="J16" i="4"/>
  <c r="J26" i="4" s="1"/>
  <c r="I16" i="4"/>
  <c r="H16" i="4"/>
  <c r="G16" i="4"/>
  <c r="F16" i="4"/>
  <c r="E16" i="4"/>
  <c r="O15" i="4"/>
  <c r="N15" i="4"/>
  <c r="M15" i="4"/>
  <c r="L15" i="4"/>
  <c r="K15" i="4"/>
  <c r="J15" i="4"/>
  <c r="I15" i="4"/>
  <c r="H15" i="4"/>
  <c r="G15" i="4"/>
  <c r="F15" i="4"/>
  <c r="E15" i="4"/>
  <c r="O25" i="3"/>
  <c r="N25" i="3"/>
  <c r="M25" i="3"/>
  <c r="L25" i="3"/>
  <c r="K25" i="3"/>
  <c r="J25" i="3"/>
  <c r="I25" i="3"/>
  <c r="H25" i="3"/>
  <c r="G25" i="3"/>
  <c r="F25" i="3"/>
  <c r="E25" i="3"/>
  <c r="O20" i="3"/>
  <c r="N20" i="3"/>
  <c r="M20" i="3"/>
  <c r="L20" i="3"/>
  <c r="K20" i="3"/>
  <c r="J20" i="3"/>
  <c r="I20" i="3"/>
  <c r="H20" i="3"/>
  <c r="G20" i="3"/>
  <c r="F20" i="3"/>
  <c r="E20" i="3"/>
  <c r="O19" i="3"/>
  <c r="N19" i="3"/>
  <c r="M19" i="3"/>
  <c r="L19" i="3"/>
  <c r="K19" i="3"/>
  <c r="J19" i="3"/>
  <c r="I19" i="3"/>
  <c r="H19" i="3"/>
  <c r="G19" i="3"/>
  <c r="F19" i="3"/>
  <c r="E19" i="3"/>
  <c r="O18" i="3"/>
  <c r="N18" i="3"/>
  <c r="N26" i="3" s="1"/>
  <c r="M18" i="3"/>
  <c r="L18" i="3"/>
  <c r="K18" i="3"/>
  <c r="K26" i="3" s="1"/>
  <c r="J18" i="3"/>
  <c r="I18" i="3"/>
  <c r="H18" i="3"/>
  <c r="G18" i="3"/>
  <c r="F18" i="3"/>
  <c r="E18" i="3"/>
  <c r="O17" i="3"/>
  <c r="N17" i="3"/>
  <c r="M17" i="3"/>
  <c r="L17" i="3"/>
  <c r="K17" i="3"/>
  <c r="J17" i="3"/>
  <c r="I17" i="3"/>
  <c r="H17" i="3"/>
  <c r="G17" i="3"/>
  <c r="F17" i="3"/>
  <c r="E17" i="3"/>
  <c r="O16" i="3"/>
  <c r="N16" i="3"/>
  <c r="M16" i="3"/>
  <c r="L16" i="3"/>
  <c r="K16" i="3"/>
  <c r="J16" i="3"/>
  <c r="J26" i="3" s="1"/>
  <c r="I16" i="3"/>
  <c r="I26" i="3" s="1"/>
  <c r="H16" i="3"/>
  <c r="H26" i="3" s="1"/>
  <c r="G16" i="3"/>
  <c r="F16" i="3"/>
  <c r="E16" i="3"/>
  <c r="O15" i="3"/>
  <c r="N15" i="3"/>
  <c r="M15" i="3"/>
  <c r="L15" i="3"/>
  <c r="K15" i="3"/>
  <c r="J15" i="3"/>
  <c r="I15" i="3"/>
  <c r="H15" i="3"/>
  <c r="G15" i="3"/>
  <c r="F15" i="3"/>
  <c r="E15" i="3"/>
  <c r="O25" i="2"/>
  <c r="N25" i="2"/>
  <c r="M25" i="2"/>
  <c r="L25" i="2"/>
  <c r="K25" i="2"/>
  <c r="J25" i="2"/>
  <c r="I25" i="2"/>
  <c r="H25" i="2"/>
  <c r="G25" i="2"/>
  <c r="F25" i="2"/>
  <c r="E25" i="2"/>
  <c r="O20" i="2"/>
  <c r="E47" i="9" s="1"/>
  <c r="N20" i="2"/>
  <c r="Q36" i="9" s="1"/>
  <c r="M20" i="2"/>
  <c r="K36" i="9" s="1"/>
  <c r="L20" i="2"/>
  <c r="E36" i="9" s="1"/>
  <c r="K20" i="2"/>
  <c r="Q25" i="9" s="1"/>
  <c r="J20" i="2"/>
  <c r="K25" i="9" s="1"/>
  <c r="I20" i="2"/>
  <c r="E25" i="9" s="1"/>
  <c r="H20" i="2"/>
  <c r="Q14" i="9" s="1"/>
  <c r="G20" i="2"/>
  <c r="K14" i="9" s="1"/>
  <c r="F20" i="2"/>
  <c r="E14" i="9" s="1"/>
  <c r="E20" i="2"/>
  <c r="Q3" i="9" s="1"/>
  <c r="O19" i="2"/>
  <c r="N19" i="2"/>
  <c r="M19" i="2"/>
  <c r="L19" i="2"/>
  <c r="K19" i="2"/>
  <c r="J19" i="2"/>
  <c r="I19" i="2"/>
  <c r="H19" i="2"/>
  <c r="G19" i="2"/>
  <c r="F19" i="2"/>
  <c r="E19" i="2"/>
  <c r="O18" i="2"/>
  <c r="N18" i="2"/>
  <c r="M18" i="2"/>
  <c r="L18" i="2"/>
  <c r="K18" i="2"/>
  <c r="J18" i="2"/>
  <c r="I18" i="2"/>
  <c r="H18" i="2"/>
  <c r="G18" i="2"/>
  <c r="F18" i="2"/>
  <c r="E18" i="2"/>
  <c r="O17" i="2"/>
  <c r="N17" i="2"/>
  <c r="M17" i="2"/>
  <c r="L17" i="2"/>
  <c r="K17" i="2"/>
  <c r="J17" i="2"/>
  <c r="I17" i="2"/>
  <c r="H17" i="2"/>
  <c r="G17" i="2"/>
  <c r="F17" i="2"/>
  <c r="E17" i="2"/>
  <c r="O16" i="2"/>
  <c r="O26" i="2" s="1"/>
  <c r="N16" i="2"/>
  <c r="N26" i="2" s="1"/>
  <c r="M16" i="2"/>
  <c r="M26" i="2" s="1"/>
  <c r="L16" i="2"/>
  <c r="L26" i="2" s="1"/>
  <c r="K16" i="2"/>
  <c r="K26" i="2" s="1"/>
  <c r="J16" i="2"/>
  <c r="J26" i="2" s="1"/>
  <c r="I16" i="2"/>
  <c r="I26" i="2" s="1"/>
  <c r="H16" i="2"/>
  <c r="H26" i="2" s="1"/>
  <c r="G16" i="2"/>
  <c r="G26" i="2" s="1"/>
  <c r="F16" i="2"/>
  <c r="F26" i="2" s="1"/>
  <c r="E16" i="2"/>
  <c r="E26" i="2" s="1"/>
  <c r="O15" i="2"/>
  <c r="N15" i="2"/>
  <c r="M15" i="2"/>
  <c r="L15" i="2"/>
  <c r="K15" i="2"/>
  <c r="J15" i="2"/>
  <c r="I15" i="2"/>
  <c r="H15" i="2"/>
  <c r="G15" i="2"/>
  <c r="F15" i="2"/>
  <c r="E15" i="2"/>
  <c r="F82" i="9" l="1"/>
  <c r="F83" i="9"/>
  <c r="F87" i="9"/>
  <c r="F88" i="9"/>
  <c r="C166" i="9"/>
  <c r="C165" i="9"/>
  <c r="C161" i="9"/>
  <c r="C164" i="9"/>
  <c r="C162" i="9"/>
  <c r="C160" i="9"/>
  <c r="C159" i="9"/>
  <c r="C82" i="12" s="1"/>
  <c r="D62" i="9"/>
  <c r="D6" i="13" s="1"/>
  <c r="B11" i="12"/>
  <c r="B11" i="11"/>
  <c r="B10" i="12"/>
  <c r="B10" i="11"/>
  <c r="B7" i="12"/>
  <c r="B7" i="11"/>
  <c r="B6" i="12"/>
  <c r="B6" i="11"/>
  <c r="B5" i="11"/>
  <c r="B5" i="12"/>
  <c r="B4" i="11"/>
  <c r="B4" i="12"/>
  <c r="B3" i="11"/>
  <c r="G11" i="12"/>
  <c r="G11" i="11"/>
  <c r="G10" i="12"/>
  <c r="G10" i="11"/>
  <c r="G9" i="12"/>
  <c r="G9" i="11"/>
  <c r="G8" i="12"/>
  <c r="G8" i="11"/>
  <c r="G7" i="12"/>
  <c r="G7" i="11"/>
  <c r="G5" i="12"/>
  <c r="G4" i="11"/>
  <c r="G4" i="12"/>
  <c r="G3" i="11"/>
  <c r="B3" i="12"/>
  <c r="B2" i="11"/>
  <c r="B8" i="12"/>
  <c r="B8" i="11"/>
  <c r="H11" i="12"/>
  <c r="H11" i="11"/>
  <c r="H10" i="12"/>
  <c r="H10" i="11"/>
  <c r="H9" i="12"/>
  <c r="H9" i="11"/>
  <c r="H7" i="12"/>
  <c r="H7" i="11"/>
  <c r="H5" i="12"/>
  <c r="H4" i="11"/>
  <c r="H4" i="12"/>
  <c r="H3" i="11"/>
  <c r="B13" i="12"/>
  <c r="B12" i="11"/>
  <c r="B14" i="12"/>
  <c r="B13" i="11"/>
  <c r="B12" i="12"/>
  <c r="B15" i="12"/>
  <c r="B14" i="11"/>
  <c r="B16" i="12"/>
  <c r="B16" i="11"/>
  <c r="B15" i="11"/>
  <c r="B17" i="12"/>
  <c r="B17" i="11"/>
  <c r="B18" i="12"/>
  <c r="B18" i="11"/>
  <c r="B19" i="12"/>
  <c r="B19" i="11"/>
  <c r="B20" i="12"/>
  <c r="B20" i="11"/>
  <c r="B21" i="12"/>
  <c r="B21" i="11"/>
  <c r="G13" i="12"/>
  <c r="G12" i="11"/>
  <c r="G14" i="12"/>
  <c r="G13" i="11"/>
  <c r="G12" i="12"/>
  <c r="G15" i="12"/>
  <c r="G14" i="11"/>
  <c r="G16" i="12"/>
  <c r="G16" i="11"/>
  <c r="G15" i="11"/>
  <c r="G17" i="12"/>
  <c r="G17" i="11"/>
  <c r="G18" i="12"/>
  <c r="G18" i="11"/>
  <c r="G19" i="12"/>
  <c r="G19" i="11"/>
  <c r="G20" i="12"/>
  <c r="G20" i="11"/>
  <c r="G21" i="12"/>
  <c r="G21" i="11"/>
  <c r="H3" i="12"/>
  <c r="H2" i="11"/>
  <c r="H13" i="12"/>
  <c r="H12" i="11"/>
  <c r="H14" i="12"/>
  <c r="H13" i="11"/>
  <c r="H12" i="12"/>
  <c r="H15" i="12"/>
  <c r="H14" i="11"/>
  <c r="H17" i="12"/>
  <c r="H17" i="11"/>
  <c r="H18" i="12"/>
  <c r="H18" i="11"/>
  <c r="H19" i="12"/>
  <c r="H19" i="11"/>
  <c r="H20" i="12"/>
  <c r="H20" i="11"/>
  <c r="H21" i="12"/>
  <c r="H21" i="11"/>
  <c r="B23" i="12"/>
  <c r="B22" i="11"/>
  <c r="G23" i="12"/>
  <c r="G22" i="11"/>
  <c r="H23" i="12"/>
  <c r="H22" i="11"/>
  <c r="B24" i="12"/>
  <c r="B23" i="11"/>
  <c r="G24" i="12"/>
  <c r="G23" i="11"/>
  <c r="H24" i="12"/>
  <c r="H23" i="11"/>
  <c r="B22" i="12"/>
  <c r="B25" i="12"/>
  <c r="B24" i="11"/>
  <c r="G22" i="12"/>
  <c r="G25" i="12"/>
  <c r="G24" i="11"/>
  <c r="H22" i="12"/>
  <c r="H25" i="12"/>
  <c r="H24" i="11"/>
  <c r="B26" i="12"/>
  <c r="B26" i="11"/>
  <c r="B25" i="11"/>
  <c r="G26" i="12"/>
  <c r="G26" i="11"/>
  <c r="G25" i="11"/>
  <c r="H26" i="12"/>
  <c r="H26" i="11"/>
  <c r="H25" i="11"/>
  <c r="B27" i="12"/>
  <c r="B27" i="11"/>
  <c r="G27" i="12"/>
  <c r="G27" i="11"/>
  <c r="H27" i="12"/>
  <c r="H27" i="11"/>
  <c r="B28" i="12"/>
  <c r="B28" i="11"/>
  <c r="G28" i="12"/>
  <c r="G28" i="11"/>
  <c r="H28" i="12"/>
  <c r="H28" i="11"/>
  <c r="B29" i="12"/>
  <c r="B29" i="11"/>
  <c r="G29" i="12"/>
  <c r="G29" i="11"/>
  <c r="H29" i="12"/>
  <c r="H29" i="11"/>
  <c r="B30" i="12"/>
  <c r="B30" i="11"/>
  <c r="G30" i="12"/>
  <c r="G30" i="11"/>
  <c r="H30" i="12"/>
  <c r="H30" i="11"/>
  <c r="B31" i="12"/>
  <c r="B31" i="11"/>
  <c r="G31" i="12"/>
  <c r="G31" i="11"/>
  <c r="H31" i="12"/>
  <c r="H31" i="11"/>
  <c r="B33" i="12"/>
  <c r="B32" i="11"/>
  <c r="G33" i="12"/>
  <c r="G32" i="11"/>
  <c r="H33" i="12"/>
  <c r="H32" i="11"/>
  <c r="B34" i="12"/>
  <c r="B33" i="11"/>
  <c r="G34" i="12"/>
  <c r="G33" i="11"/>
  <c r="H34" i="12"/>
  <c r="H33" i="11"/>
  <c r="B32" i="12"/>
  <c r="B35" i="12"/>
  <c r="B34" i="11"/>
  <c r="G32" i="12"/>
  <c r="G35" i="12"/>
  <c r="G34" i="11"/>
  <c r="H32" i="12"/>
  <c r="H35" i="12"/>
  <c r="H34" i="11"/>
  <c r="B36" i="12"/>
  <c r="B36" i="11"/>
  <c r="B35" i="11"/>
  <c r="G36" i="12"/>
  <c r="G36" i="11"/>
  <c r="G35" i="11"/>
  <c r="H36" i="12"/>
  <c r="H36" i="11"/>
  <c r="H35" i="11"/>
  <c r="B37" i="12"/>
  <c r="B37" i="11"/>
  <c r="G37" i="12"/>
  <c r="G37" i="11"/>
  <c r="H37" i="12"/>
  <c r="H37" i="11"/>
  <c r="B38" i="12"/>
  <c r="B38" i="11"/>
  <c r="G38" i="12"/>
  <c r="G38" i="11"/>
  <c r="H38" i="12"/>
  <c r="H38" i="11"/>
  <c r="B39" i="12"/>
  <c r="B39" i="11"/>
  <c r="G39" i="12"/>
  <c r="G39" i="11"/>
  <c r="H39" i="12"/>
  <c r="H39" i="11"/>
  <c r="B40" i="12"/>
  <c r="B40" i="11"/>
  <c r="G40" i="12"/>
  <c r="G40" i="11"/>
  <c r="H40" i="12"/>
  <c r="H40" i="11"/>
  <c r="B41" i="12"/>
  <c r="B41" i="11"/>
  <c r="G41" i="12"/>
  <c r="G41" i="11"/>
  <c r="H41" i="12"/>
  <c r="H41" i="11"/>
  <c r="B43" i="12"/>
  <c r="B42" i="11"/>
  <c r="G43" i="12"/>
  <c r="G42" i="11"/>
  <c r="H43" i="12"/>
  <c r="H42" i="11"/>
  <c r="B42" i="12"/>
  <c r="B44" i="12"/>
  <c r="B43" i="11"/>
  <c r="G42" i="12"/>
  <c r="G44" i="12"/>
  <c r="G43" i="11"/>
  <c r="H42" i="12"/>
  <c r="H44" i="12"/>
  <c r="H43" i="11"/>
  <c r="B45" i="12"/>
  <c r="B44" i="11"/>
  <c r="G45" i="12"/>
  <c r="G44" i="11"/>
  <c r="H45" i="12"/>
  <c r="H44" i="11"/>
  <c r="B46" i="12"/>
  <c r="B46" i="11"/>
  <c r="B45" i="11"/>
  <c r="G46" i="12"/>
  <c r="G46" i="11"/>
  <c r="G45" i="11"/>
  <c r="H46" i="12"/>
  <c r="H46" i="11"/>
  <c r="H45" i="11"/>
  <c r="B47" i="12"/>
  <c r="B47" i="11"/>
  <c r="G47" i="12"/>
  <c r="G47" i="11"/>
  <c r="H47" i="12"/>
  <c r="H47" i="11"/>
  <c r="B48" i="12"/>
  <c r="B48" i="11"/>
  <c r="G48" i="12"/>
  <c r="G48" i="11"/>
  <c r="H48" i="12"/>
  <c r="H48" i="11"/>
  <c r="B49" i="12"/>
  <c r="B49" i="11"/>
  <c r="G49" i="12"/>
  <c r="G49" i="11"/>
  <c r="H49" i="12"/>
  <c r="H49" i="11"/>
  <c r="B50" i="12"/>
  <c r="B50" i="11"/>
  <c r="G50" i="12"/>
  <c r="G50" i="11"/>
  <c r="H50" i="12"/>
  <c r="H50" i="11"/>
  <c r="B51" i="12"/>
  <c r="B51" i="11"/>
  <c r="G51" i="12"/>
  <c r="G51" i="11"/>
  <c r="H51" i="12"/>
  <c r="H51" i="11"/>
  <c r="B53" i="12"/>
  <c r="B52" i="11"/>
  <c r="G53" i="12"/>
  <c r="G52" i="11"/>
  <c r="H53" i="12"/>
  <c r="H52" i="11"/>
  <c r="B52" i="12"/>
  <c r="B54" i="12"/>
  <c r="B53" i="11"/>
  <c r="G52" i="12"/>
  <c r="G54" i="12"/>
  <c r="G53" i="11"/>
  <c r="H52" i="12"/>
  <c r="H54" i="12"/>
  <c r="H53" i="11"/>
  <c r="B55" i="12"/>
  <c r="B54" i="11"/>
  <c r="G55" i="12"/>
  <c r="G54" i="11"/>
  <c r="H55" i="12"/>
  <c r="H54" i="11"/>
  <c r="B56" i="12"/>
  <c r="B56" i="11"/>
  <c r="B55" i="11"/>
  <c r="G56" i="12"/>
  <c r="G56" i="11"/>
  <c r="G55" i="11"/>
  <c r="H56" i="12"/>
  <c r="H56" i="11"/>
  <c r="H55" i="11"/>
  <c r="B57" i="12"/>
  <c r="B57" i="11"/>
  <c r="G57" i="12"/>
  <c r="G57" i="11"/>
  <c r="H57" i="12"/>
  <c r="H57" i="11"/>
  <c r="B58" i="12"/>
  <c r="B58" i="11"/>
  <c r="G58" i="12"/>
  <c r="G58" i="11"/>
  <c r="H58" i="12"/>
  <c r="H58" i="11"/>
  <c r="B59" i="12"/>
  <c r="B59" i="11"/>
  <c r="G59" i="12"/>
  <c r="G59" i="11"/>
  <c r="H59" i="12"/>
  <c r="H59" i="11"/>
  <c r="B60" i="12"/>
  <c r="B60" i="11"/>
  <c r="G60" i="12"/>
  <c r="G60" i="11"/>
  <c r="H60" i="12"/>
  <c r="H60" i="11"/>
  <c r="B61" i="12"/>
  <c r="B61" i="11"/>
  <c r="G61" i="12"/>
  <c r="G61" i="11"/>
  <c r="H61" i="12"/>
  <c r="H61" i="11"/>
  <c r="B63" i="12"/>
  <c r="B62" i="11"/>
  <c r="G63" i="12"/>
  <c r="G62" i="11"/>
  <c r="H63" i="12"/>
  <c r="H62" i="11"/>
  <c r="B62" i="12"/>
  <c r="B64" i="12"/>
  <c r="B63" i="11"/>
  <c r="G62" i="12"/>
  <c r="G64" i="12"/>
  <c r="G63" i="11"/>
  <c r="H62" i="12"/>
  <c r="H64" i="12"/>
  <c r="H63" i="11"/>
  <c r="B65" i="12"/>
  <c r="B64" i="11"/>
  <c r="G65" i="12"/>
  <c r="G64" i="11"/>
  <c r="H65" i="12"/>
  <c r="H64" i="11"/>
  <c r="B66" i="12"/>
  <c r="B66" i="11"/>
  <c r="B65" i="11"/>
  <c r="G66" i="12"/>
  <c r="G66" i="11"/>
  <c r="G65" i="11"/>
  <c r="H66" i="12"/>
  <c r="H66" i="11"/>
  <c r="H65" i="11"/>
  <c r="B67" i="12"/>
  <c r="B67" i="11"/>
  <c r="G67" i="12"/>
  <c r="G67" i="11"/>
  <c r="H67" i="12"/>
  <c r="H67" i="11"/>
  <c r="B68" i="12"/>
  <c r="B68" i="11"/>
  <c r="G68" i="12"/>
  <c r="G68" i="11"/>
  <c r="H68" i="12"/>
  <c r="H68" i="11"/>
  <c r="B69" i="12"/>
  <c r="B69" i="11"/>
  <c r="G69" i="12"/>
  <c r="G69" i="11"/>
  <c r="H69" i="12"/>
  <c r="H69" i="11"/>
  <c r="B70" i="12"/>
  <c r="B70" i="11"/>
  <c r="G70" i="12"/>
  <c r="G70" i="11"/>
  <c r="H70" i="12"/>
  <c r="H70" i="11"/>
  <c r="B71" i="12"/>
  <c r="B71" i="11"/>
  <c r="G71" i="12"/>
  <c r="G71" i="11"/>
  <c r="H71" i="12"/>
  <c r="H71" i="11"/>
  <c r="B73" i="12"/>
  <c r="B72" i="11"/>
  <c r="G73" i="12"/>
  <c r="G72" i="11"/>
  <c r="H73" i="12"/>
  <c r="H72" i="11"/>
  <c r="B72" i="12"/>
  <c r="B74" i="12"/>
  <c r="B73" i="11"/>
  <c r="G72" i="12"/>
  <c r="G74" i="12"/>
  <c r="G73" i="11"/>
  <c r="H72" i="12"/>
  <c r="H74" i="12"/>
  <c r="H73" i="11"/>
  <c r="B75" i="12"/>
  <c r="B74" i="11"/>
  <c r="G75" i="12"/>
  <c r="G74" i="11"/>
  <c r="H75" i="12"/>
  <c r="H74" i="11"/>
  <c r="B76" i="12"/>
  <c r="B76" i="11"/>
  <c r="B75" i="11"/>
  <c r="G76" i="12"/>
  <c r="G76" i="11"/>
  <c r="G75" i="11"/>
  <c r="H76" i="12"/>
  <c r="H76" i="11"/>
  <c r="H75" i="11"/>
  <c r="B77" i="12"/>
  <c r="B77" i="11"/>
  <c r="G77" i="12"/>
  <c r="G77" i="11"/>
  <c r="H77" i="12"/>
  <c r="H77" i="11"/>
  <c r="B78" i="12"/>
  <c r="B78" i="11"/>
  <c r="G78" i="12"/>
  <c r="G78" i="11"/>
  <c r="H78" i="12"/>
  <c r="H78" i="11"/>
  <c r="B79" i="12"/>
  <c r="B79" i="11"/>
  <c r="G79" i="12"/>
  <c r="G79" i="11"/>
  <c r="H79" i="12"/>
  <c r="H79" i="11"/>
  <c r="B80" i="12"/>
  <c r="B80" i="11"/>
  <c r="G80" i="12"/>
  <c r="G80" i="11"/>
  <c r="H80" i="12"/>
  <c r="H80" i="11"/>
  <c r="B81" i="12"/>
  <c r="B81" i="11"/>
  <c r="G81" i="12"/>
  <c r="G81" i="11"/>
  <c r="H81" i="12"/>
  <c r="H81" i="11"/>
  <c r="B83" i="12"/>
  <c r="B82" i="11"/>
  <c r="G83" i="12"/>
  <c r="G82" i="11"/>
  <c r="H83" i="12"/>
  <c r="H82" i="11"/>
  <c r="B82" i="12"/>
  <c r="B84" i="12"/>
  <c r="B83" i="11"/>
  <c r="G82" i="12"/>
  <c r="G84" i="12"/>
  <c r="G83" i="11"/>
  <c r="H82" i="12"/>
  <c r="H84" i="12"/>
  <c r="H83" i="11"/>
  <c r="B85" i="12"/>
  <c r="B84" i="11"/>
  <c r="G85" i="12"/>
  <c r="G84" i="11"/>
  <c r="H85" i="12"/>
  <c r="H84" i="11"/>
  <c r="B86" i="12"/>
  <c r="B86" i="11"/>
  <c r="B85" i="11"/>
  <c r="G86" i="12"/>
  <c r="G86" i="11"/>
  <c r="G85" i="11"/>
  <c r="H86" i="12"/>
  <c r="H86" i="11"/>
  <c r="H85" i="11"/>
  <c r="B87" i="12"/>
  <c r="B87" i="11"/>
  <c r="G87" i="12"/>
  <c r="G87" i="11"/>
  <c r="H87" i="12"/>
  <c r="H87" i="11"/>
  <c r="B88" i="12"/>
  <c r="B88" i="11"/>
  <c r="G88" i="12"/>
  <c r="G88" i="11"/>
  <c r="H88" i="12"/>
  <c r="H88" i="11"/>
  <c r="B89" i="12"/>
  <c r="B89" i="11"/>
  <c r="G89" i="12"/>
  <c r="G89" i="11"/>
  <c r="H89" i="12"/>
  <c r="H89" i="11"/>
  <c r="B90" i="12"/>
  <c r="B90" i="11"/>
  <c r="G90" i="12"/>
  <c r="G90" i="11"/>
  <c r="H90" i="12"/>
  <c r="H90" i="11"/>
  <c r="B91" i="12"/>
  <c r="B91" i="11"/>
  <c r="G91" i="12"/>
  <c r="G91" i="11"/>
  <c r="H91" i="12"/>
  <c r="H91" i="11"/>
  <c r="B93" i="12"/>
  <c r="B92" i="11"/>
  <c r="G93" i="12"/>
  <c r="G92" i="11"/>
  <c r="H93" i="12"/>
  <c r="H92" i="11"/>
  <c r="B92" i="12"/>
  <c r="B94" i="12"/>
  <c r="B93" i="11"/>
  <c r="G92" i="12"/>
  <c r="G94" i="12"/>
  <c r="G93" i="11"/>
  <c r="H92" i="12"/>
  <c r="H94" i="12"/>
  <c r="H93" i="11"/>
  <c r="B95" i="12"/>
  <c r="B94" i="11"/>
  <c r="G95" i="12"/>
  <c r="G94" i="11"/>
  <c r="H95" i="12"/>
  <c r="H94" i="11"/>
  <c r="B96" i="12"/>
  <c r="B96" i="11"/>
  <c r="B95" i="11"/>
  <c r="G96" i="12"/>
  <c r="G96" i="11"/>
  <c r="G95" i="11"/>
  <c r="H96" i="12"/>
  <c r="H96" i="11"/>
  <c r="H95" i="11"/>
  <c r="B97" i="12"/>
  <c r="B97" i="11"/>
  <c r="G97" i="12"/>
  <c r="G97" i="11"/>
  <c r="H97" i="12"/>
  <c r="H97" i="11"/>
  <c r="B98" i="12"/>
  <c r="B98" i="11"/>
  <c r="G98" i="12"/>
  <c r="G98" i="11"/>
  <c r="H98" i="12"/>
  <c r="H98" i="11"/>
  <c r="B99" i="12"/>
  <c r="B99" i="11"/>
  <c r="G99" i="12"/>
  <c r="G99" i="11"/>
  <c r="H99" i="12"/>
  <c r="H99" i="11"/>
  <c r="B100" i="12"/>
  <c r="B100" i="11"/>
  <c r="G100" i="12"/>
  <c r="G100" i="11"/>
  <c r="H100" i="12"/>
  <c r="H100" i="11"/>
  <c r="B101" i="12"/>
  <c r="B101" i="11"/>
  <c r="G101" i="12"/>
  <c r="G101" i="11"/>
  <c r="H101" i="12"/>
  <c r="H101" i="11"/>
  <c r="B103" i="12"/>
  <c r="B102" i="11"/>
  <c r="G103" i="12"/>
  <c r="G102" i="11"/>
  <c r="H103" i="12"/>
  <c r="H102" i="11"/>
  <c r="B102" i="12"/>
  <c r="B104" i="12"/>
  <c r="B103" i="11"/>
  <c r="G102" i="12"/>
  <c r="G104" i="12"/>
  <c r="G103" i="11"/>
  <c r="H102" i="12"/>
  <c r="H104" i="12"/>
  <c r="H103" i="11"/>
  <c r="B105" i="12"/>
  <c r="B104" i="11"/>
  <c r="G105" i="12"/>
  <c r="G104" i="11"/>
  <c r="H105" i="12"/>
  <c r="H104" i="11"/>
  <c r="B106" i="12"/>
  <c r="B106" i="11"/>
  <c r="B105" i="11"/>
  <c r="G106" i="12"/>
  <c r="G106" i="11"/>
  <c r="G105" i="11"/>
  <c r="H106" i="12"/>
  <c r="H106" i="11"/>
  <c r="H105" i="11"/>
  <c r="B107" i="12"/>
  <c r="B107" i="11"/>
  <c r="G107" i="12"/>
  <c r="G107" i="11"/>
  <c r="H107" i="12"/>
  <c r="H107" i="11"/>
  <c r="B108" i="12"/>
  <c r="B108" i="11"/>
  <c r="G108" i="12"/>
  <c r="G108" i="11"/>
  <c r="H108" i="12"/>
  <c r="H108" i="11"/>
  <c r="B109" i="12"/>
  <c r="B109" i="11"/>
  <c r="G109" i="12"/>
  <c r="G109" i="11"/>
  <c r="H109" i="12"/>
  <c r="H109" i="11"/>
  <c r="B110" i="12"/>
  <c r="B110" i="11"/>
  <c r="G110" i="12"/>
  <c r="G110" i="11"/>
  <c r="H110" i="12"/>
  <c r="H110" i="11"/>
  <c r="B111" i="12"/>
  <c r="B111" i="11"/>
  <c r="G111" i="12"/>
  <c r="G111" i="11"/>
  <c r="H111" i="12"/>
  <c r="H111" i="11"/>
  <c r="B113" i="12"/>
  <c r="B112" i="11"/>
  <c r="G113" i="12"/>
  <c r="G112" i="11"/>
  <c r="H113" i="12"/>
  <c r="H112" i="11"/>
  <c r="B112" i="12"/>
  <c r="B114" i="12"/>
  <c r="B113" i="11"/>
  <c r="G112" i="12"/>
  <c r="G114" i="12"/>
  <c r="G113" i="11"/>
  <c r="H112" i="12"/>
  <c r="H114" i="12"/>
  <c r="H113" i="11"/>
  <c r="B115" i="12"/>
  <c r="B114" i="11"/>
  <c r="G115" i="12"/>
  <c r="G114" i="11"/>
  <c r="H115" i="12"/>
  <c r="H114" i="11"/>
  <c r="B116" i="12"/>
  <c r="B116" i="11"/>
  <c r="B115" i="11"/>
  <c r="G116" i="12"/>
  <c r="G116" i="11"/>
  <c r="G115" i="11"/>
  <c r="H116" i="12"/>
  <c r="H116" i="11"/>
  <c r="H115" i="11"/>
  <c r="B117" i="12"/>
  <c r="B117" i="11"/>
  <c r="G117" i="12"/>
  <c r="G117" i="11"/>
  <c r="H117" i="12"/>
  <c r="H117" i="11"/>
  <c r="B118" i="12"/>
  <c r="B118" i="11"/>
  <c r="G118" i="12"/>
  <c r="G118" i="11"/>
  <c r="H118" i="12"/>
  <c r="H118" i="11"/>
  <c r="B119" i="12"/>
  <c r="B119" i="11"/>
  <c r="G119" i="12"/>
  <c r="G119" i="11"/>
  <c r="H119" i="12"/>
  <c r="H119" i="11"/>
  <c r="B120" i="12"/>
  <c r="B120" i="11"/>
  <c r="G120" i="12"/>
  <c r="G120" i="11"/>
  <c r="H120" i="12"/>
  <c r="H120" i="11"/>
  <c r="B121" i="12"/>
  <c r="B121" i="11"/>
  <c r="G121" i="12"/>
  <c r="G121" i="11"/>
  <c r="H121" i="12"/>
  <c r="H121" i="11"/>
  <c r="B123" i="12"/>
  <c r="B122" i="11"/>
  <c r="G123" i="12"/>
  <c r="G122" i="11"/>
  <c r="H123" i="12"/>
  <c r="H122" i="11"/>
  <c r="B122" i="12"/>
  <c r="B124" i="12"/>
  <c r="B123" i="11"/>
  <c r="G122" i="12"/>
  <c r="G124" i="12"/>
  <c r="G123" i="11"/>
  <c r="H122" i="12"/>
  <c r="H124" i="12"/>
  <c r="H123" i="11"/>
  <c r="B125" i="12"/>
  <c r="B124" i="11"/>
  <c r="G125" i="12"/>
  <c r="G124" i="11"/>
  <c r="H125" i="12"/>
  <c r="H124" i="11"/>
  <c r="B126" i="12"/>
  <c r="B126" i="11"/>
  <c r="B125" i="11"/>
  <c r="G126" i="12"/>
  <c r="G126" i="11"/>
  <c r="G125" i="11"/>
  <c r="H126" i="12"/>
  <c r="H126" i="11"/>
  <c r="H125" i="11"/>
  <c r="B127" i="12"/>
  <c r="B127" i="11"/>
  <c r="G127" i="12"/>
  <c r="G127" i="11"/>
  <c r="H127" i="12"/>
  <c r="H127" i="11"/>
  <c r="B128" i="12"/>
  <c r="B128" i="11"/>
  <c r="G128" i="12"/>
  <c r="G128" i="11"/>
  <c r="H128" i="12"/>
  <c r="H128" i="11"/>
  <c r="B129" i="12"/>
  <c r="B129" i="11"/>
  <c r="G129" i="12"/>
  <c r="G129" i="11"/>
  <c r="H129" i="12"/>
  <c r="H129" i="11"/>
  <c r="B130" i="12"/>
  <c r="B130" i="11"/>
  <c r="G130" i="12"/>
  <c r="G130" i="11"/>
  <c r="H130" i="12"/>
  <c r="H130" i="11"/>
  <c r="B131" i="12"/>
  <c r="B131" i="11"/>
  <c r="G131" i="12"/>
  <c r="G131" i="11"/>
  <c r="H131" i="12"/>
  <c r="H131" i="11"/>
  <c r="B133" i="12"/>
  <c r="B132" i="11"/>
  <c r="G133" i="12"/>
  <c r="G132" i="11"/>
  <c r="H133" i="12"/>
  <c r="H132" i="11"/>
  <c r="B132" i="12"/>
  <c r="B134" i="12"/>
  <c r="B133" i="11"/>
  <c r="G132" i="12"/>
  <c r="G134" i="12"/>
  <c r="G133" i="11"/>
  <c r="H132" i="12"/>
  <c r="H134" i="12"/>
  <c r="H133" i="11"/>
  <c r="B135" i="12"/>
  <c r="B134" i="11"/>
  <c r="G135" i="12"/>
  <c r="G134" i="11"/>
  <c r="H135" i="12"/>
  <c r="H134" i="11"/>
  <c r="B136" i="12"/>
  <c r="B136" i="11"/>
  <c r="B135" i="11"/>
  <c r="G136" i="12"/>
  <c r="G136" i="11"/>
  <c r="G135" i="11"/>
  <c r="H136" i="12"/>
  <c r="H136" i="11"/>
  <c r="H135" i="11"/>
  <c r="B137" i="12"/>
  <c r="B137" i="11"/>
  <c r="G137" i="12"/>
  <c r="G137" i="11"/>
  <c r="H137" i="12"/>
  <c r="H137" i="11"/>
  <c r="B138" i="12"/>
  <c r="B138" i="11"/>
  <c r="G138" i="12"/>
  <c r="G138" i="11"/>
  <c r="H138" i="12"/>
  <c r="H138" i="11"/>
  <c r="B139" i="12"/>
  <c r="B139" i="11"/>
  <c r="G139" i="12"/>
  <c r="G139" i="11"/>
  <c r="H139" i="12"/>
  <c r="H139" i="11"/>
  <c r="B140" i="12"/>
  <c r="B140" i="11"/>
  <c r="G140" i="12"/>
  <c r="G140" i="11"/>
  <c r="H140" i="12"/>
  <c r="H140" i="11"/>
  <c r="B141" i="12"/>
  <c r="B141" i="11"/>
  <c r="G141" i="12"/>
  <c r="G141" i="11"/>
  <c r="H141" i="12"/>
  <c r="H141" i="11"/>
  <c r="B143" i="12"/>
  <c r="B142" i="11"/>
  <c r="G143" i="12"/>
  <c r="G142" i="11"/>
  <c r="H143" i="12"/>
  <c r="H142" i="11"/>
  <c r="B142" i="12"/>
  <c r="B144" i="12"/>
  <c r="B143" i="11"/>
  <c r="G142" i="12"/>
  <c r="G144" i="12"/>
  <c r="G143" i="11"/>
  <c r="H142" i="12"/>
  <c r="H144" i="12"/>
  <c r="H143" i="11"/>
  <c r="B145" i="12"/>
  <c r="B144" i="11"/>
  <c r="G145" i="12"/>
  <c r="G144" i="11"/>
  <c r="H145" i="12"/>
  <c r="H144" i="11"/>
  <c r="B146" i="12"/>
  <c r="B146" i="11"/>
  <c r="B145" i="11"/>
  <c r="G146" i="12"/>
  <c r="G146" i="11"/>
  <c r="G145" i="11"/>
  <c r="H146" i="12"/>
  <c r="H146" i="11"/>
  <c r="H145" i="11"/>
  <c r="B147" i="12"/>
  <c r="B147" i="11"/>
  <c r="G147" i="12"/>
  <c r="G147" i="11"/>
  <c r="H147" i="12"/>
  <c r="H147" i="11"/>
  <c r="B148" i="12"/>
  <c r="B148" i="11"/>
  <c r="G148" i="12"/>
  <c r="G148" i="11"/>
  <c r="H148" i="12"/>
  <c r="H148" i="11"/>
  <c r="B149" i="12"/>
  <c r="B149" i="11"/>
  <c r="G149" i="12"/>
  <c r="G149" i="11"/>
  <c r="H149" i="12"/>
  <c r="H149" i="11"/>
  <c r="B150" i="12"/>
  <c r="B150" i="11"/>
  <c r="G150" i="12"/>
  <c r="G150" i="11"/>
  <c r="H150" i="12"/>
  <c r="H150" i="11"/>
  <c r="B151" i="12"/>
  <c r="B151" i="11"/>
  <c r="G151" i="12"/>
  <c r="G151" i="11"/>
  <c r="H151" i="12"/>
  <c r="H151" i="11"/>
  <c r="B153" i="12"/>
  <c r="B152" i="11"/>
  <c r="G153" i="12"/>
  <c r="G152" i="11"/>
  <c r="H153" i="12"/>
  <c r="H152" i="11"/>
  <c r="B152" i="12"/>
  <c r="B154" i="12"/>
  <c r="B153" i="11"/>
  <c r="G152" i="12"/>
  <c r="G154" i="12"/>
  <c r="G153" i="11"/>
  <c r="H152" i="12"/>
  <c r="H154" i="12"/>
  <c r="H153" i="11"/>
  <c r="B155" i="12"/>
  <c r="B154" i="11"/>
  <c r="G155" i="12"/>
  <c r="G154" i="11"/>
  <c r="H155" i="12"/>
  <c r="H154" i="11"/>
  <c r="B156" i="12"/>
  <c r="B156" i="11"/>
  <c r="B155" i="11"/>
  <c r="G156" i="12"/>
  <c r="G156" i="11"/>
  <c r="G155" i="11"/>
  <c r="H156" i="12"/>
  <c r="H156" i="11"/>
  <c r="H155" i="11"/>
  <c r="B157" i="12"/>
  <c r="B157" i="11"/>
  <c r="G157" i="12"/>
  <c r="G157" i="11"/>
  <c r="H157" i="12"/>
  <c r="H157" i="11"/>
  <c r="B158" i="12"/>
  <c r="B158" i="11"/>
  <c r="G158" i="12"/>
  <c r="G158" i="11"/>
  <c r="H158" i="12"/>
  <c r="H158" i="11"/>
  <c r="B159" i="12"/>
  <c r="B159" i="11"/>
  <c r="G159" i="12"/>
  <c r="G159" i="11"/>
  <c r="H159" i="12"/>
  <c r="H159" i="11"/>
  <c r="B160" i="12"/>
  <c r="B160" i="11"/>
  <c r="G160" i="12"/>
  <c r="G160" i="11"/>
  <c r="H160" i="12"/>
  <c r="H160" i="11"/>
  <c r="B161" i="12"/>
  <c r="B161" i="11"/>
  <c r="G161" i="12"/>
  <c r="G161" i="11"/>
  <c r="H161" i="12"/>
  <c r="H161" i="11"/>
  <c r="G6" i="12"/>
  <c r="G6" i="11"/>
  <c r="G5" i="11"/>
  <c r="D61" i="9"/>
  <c r="D5" i="13" s="1"/>
  <c r="D26" i="2"/>
  <c r="I3" i="9" s="1"/>
  <c r="D59" i="9"/>
  <c r="P26" i="2"/>
  <c r="I47" i="9" s="1"/>
  <c r="Q26" i="2"/>
  <c r="O47" i="9" s="1"/>
  <c r="O26" i="1"/>
  <c r="N26" i="1"/>
  <c r="M26" i="1"/>
  <c r="L26" i="1"/>
  <c r="K26" i="1"/>
  <c r="C132" i="12"/>
  <c r="C122" i="12"/>
  <c r="C112" i="12"/>
  <c r="C102" i="12"/>
  <c r="C92" i="12"/>
  <c r="C12" i="12"/>
  <c r="D58" i="9"/>
  <c r="C22" i="12"/>
  <c r="C142" i="12"/>
  <c r="C152" i="12"/>
  <c r="F23" i="12"/>
  <c r="F22" i="11"/>
  <c r="F152" i="12"/>
  <c r="F142" i="12"/>
  <c r="F132" i="12"/>
  <c r="F122" i="12"/>
  <c r="M26" i="3"/>
  <c r="F112" i="12"/>
  <c r="L26" i="3"/>
  <c r="C37" i="9" s="1"/>
  <c r="F102" i="12"/>
  <c r="F82" i="12"/>
  <c r="F72" i="12"/>
  <c r="C72" i="12"/>
  <c r="F62" i="12"/>
  <c r="C62" i="12"/>
  <c r="F52" i="12"/>
  <c r="C52" i="12"/>
  <c r="F42" i="12"/>
  <c r="C42" i="12"/>
  <c r="D60" i="9"/>
  <c r="F22" i="12"/>
  <c r="F12" i="12"/>
  <c r="Q10" i="9"/>
  <c r="E66" i="9" s="1"/>
  <c r="E10" i="13" s="1"/>
  <c r="O10" i="9"/>
  <c r="C66" i="9" s="1"/>
  <c r="C10" i="13" s="1"/>
  <c r="N10" i="9"/>
  <c r="P10" i="9"/>
  <c r="Q19" i="9"/>
  <c r="H26" i="7"/>
  <c r="O19" i="9" s="1"/>
  <c r="E30" i="9"/>
  <c r="I26" i="7"/>
  <c r="C30" i="9" s="1"/>
  <c r="K30" i="9"/>
  <c r="J26" i="7"/>
  <c r="Q30" i="9"/>
  <c r="K26" i="7"/>
  <c r="O30" i="9" s="1"/>
  <c r="E41" i="9"/>
  <c r="L26" i="7"/>
  <c r="C41" i="9" s="1"/>
  <c r="K41" i="9"/>
  <c r="M26" i="7"/>
  <c r="I41" i="9" s="1"/>
  <c r="Q41" i="9"/>
  <c r="N26" i="7"/>
  <c r="O41" i="9" s="1"/>
  <c r="E52" i="9"/>
  <c r="O26" i="7"/>
  <c r="C52" i="9" s="1"/>
  <c r="K52" i="9"/>
  <c r="P26" i="7"/>
  <c r="I52" i="9" s="1"/>
  <c r="Q52" i="9"/>
  <c r="Q26" i="7"/>
  <c r="O52" i="9" s="1"/>
  <c r="K19" i="9"/>
  <c r="G26" i="7"/>
  <c r="I19" i="9" s="1"/>
  <c r="E19" i="9"/>
  <c r="F26" i="7"/>
  <c r="C19" i="9" s="1"/>
  <c r="Q8" i="9"/>
  <c r="E26" i="7"/>
  <c r="O8" i="9" s="1"/>
  <c r="K8" i="9"/>
  <c r="D26" i="7"/>
  <c r="Q17" i="9"/>
  <c r="H26" i="5"/>
  <c r="O17" i="9" s="1"/>
  <c r="E28" i="9"/>
  <c r="I26" i="5"/>
  <c r="C28" i="9" s="1"/>
  <c r="G26" i="5"/>
  <c r="I17" i="9" s="1"/>
  <c r="E8" i="9"/>
  <c r="C26" i="7"/>
  <c r="C8" i="9" s="1"/>
  <c r="K6" i="9"/>
  <c r="D26" i="5"/>
  <c r="I6" i="9" s="1"/>
  <c r="E6" i="9"/>
  <c r="C26" i="5"/>
  <c r="C6" i="9" s="1"/>
  <c r="E27" i="9"/>
  <c r="I26" i="4"/>
  <c r="C27" i="9" s="1"/>
  <c r="Q16" i="9"/>
  <c r="H26" i="4"/>
  <c r="O16" i="9" s="1"/>
  <c r="E17" i="9"/>
  <c r="F26" i="5"/>
  <c r="C17" i="9" s="1"/>
  <c r="Q6" i="9"/>
  <c r="E26" i="5"/>
  <c r="O6" i="9" s="1"/>
  <c r="K16" i="9"/>
  <c r="G26" i="4"/>
  <c r="I16" i="9" s="1"/>
  <c r="E16" i="9"/>
  <c r="F26" i="4"/>
  <c r="C16" i="9" s="1"/>
  <c r="Q5" i="9"/>
  <c r="E26" i="4"/>
  <c r="O5" i="9" s="1"/>
  <c r="K5" i="9"/>
  <c r="D26" i="4"/>
  <c r="I5" i="9" s="1"/>
  <c r="E5" i="9"/>
  <c r="C26" i="4"/>
  <c r="C5" i="9" s="1"/>
  <c r="K15" i="9"/>
  <c r="G26" i="3"/>
  <c r="E15" i="9"/>
  <c r="F26" i="3"/>
  <c r="Q4" i="9"/>
  <c r="E26" i="3"/>
  <c r="O4" i="9" s="1"/>
  <c r="K4" i="9"/>
  <c r="D26" i="3"/>
  <c r="I4" i="9" s="1"/>
  <c r="E4" i="9"/>
  <c r="C26" i="3"/>
  <c r="C4" i="9" s="1"/>
  <c r="H26" i="1"/>
  <c r="I26" i="1"/>
  <c r="J26" i="1"/>
  <c r="G26" i="1"/>
  <c r="F26" i="1"/>
  <c r="E26" i="1"/>
  <c r="D26" i="1"/>
  <c r="E2" i="9"/>
  <c r="C26" i="1"/>
  <c r="C2" i="9" s="1"/>
  <c r="K7" i="9"/>
  <c r="Q7" i="9"/>
  <c r="E18" i="9"/>
  <c r="K18" i="9"/>
  <c r="Q18" i="9"/>
  <c r="E29" i="9"/>
  <c r="K29" i="9"/>
  <c r="Q29" i="9"/>
  <c r="E40" i="9"/>
  <c r="K40" i="9"/>
  <c r="Q40" i="9"/>
  <c r="E51" i="9"/>
  <c r="K51" i="9"/>
  <c r="I51" i="9"/>
  <c r="Q51" i="9"/>
  <c r="E7" i="9"/>
  <c r="Q28" i="9"/>
  <c r="O28" i="9"/>
  <c r="E39" i="9"/>
  <c r="C39" i="9"/>
  <c r="K39" i="9"/>
  <c r="I39" i="9"/>
  <c r="Q39" i="9"/>
  <c r="O39" i="9"/>
  <c r="E50" i="9"/>
  <c r="C50" i="9"/>
  <c r="K50" i="9"/>
  <c r="I50" i="9"/>
  <c r="Q50" i="9"/>
  <c r="O50" i="9"/>
  <c r="K28" i="9"/>
  <c r="I28" i="9"/>
  <c r="Q27" i="9"/>
  <c r="E38" i="9"/>
  <c r="C38" i="9"/>
  <c r="K38" i="9"/>
  <c r="Q38" i="9"/>
  <c r="O38" i="9"/>
  <c r="E49" i="9"/>
  <c r="K49" i="9"/>
  <c r="I49" i="9"/>
  <c r="Q49" i="9"/>
  <c r="O49" i="9"/>
  <c r="K27" i="9"/>
  <c r="I27" i="9"/>
  <c r="E26" i="9"/>
  <c r="K26" i="9"/>
  <c r="Q26" i="9"/>
  <c r="E37" i="9"/>
  <c r="E48" i="9"/>
  <c r="I48" i="9"/>
  <c r="O48" i="9"/>
  <c r="Q15" i="9"/>
  <c r="E9" i="9"/>
  <c r="K9" i="9"/>
  <c r="Q9" i="9"/>
  <c r="E20" i="9"/>
  <c r="K20" i="9"/>
  <c r="Q20" i="9"/>
  <c r="E31" i="9"/>
  <c r="K31" i="9"/>
  <c r="Q31" i="9"/>
  <c r="E42" i="9"/>
  <c r="K42" i="9"/>
  <c r="E53" i="9"/>
  <c r="K53" i="9"/>
  <c r="Q53" i="9"/>
  <c r="C9" i="9"/>
  <c r="I9" i="9"/>
  <c r="O9" i="9"/>
  <c r="C20" i="9"/>
  <c r="I20" i="9"/>
  <c r="O20" i="9"/>
  <c r="C31" i="9"/>
  <c r="I31" i="9"/>
  <c r="O31" i="9"/>
  <c r="C42" i="9"/>
  <c r="I42" i="9"/>
  <c r="O42" i="9"/>
  <c r="C53" i="9"/>
  <c r="I53" i="9"/>
  <c r="O53" i="9"/>
  <c r="E64" i="9"/>
  <c r="E8" i="13" s="1"/>
  <c r="E63" i="9"/>
  <c r="E7" i="13" s="1"/>
  <c r="O7" i="9"/>
  <c r="C18" i="9"/>
  <c r="I18" i="9"/>
  <c r="O18" i="9"/>
  <c r="C29" i="9"/>
  <c r="I29" i="9"/>
  <c r="O29" i="9"/>
  <c r="C40" i="9"/>
  <c r="I40" i="9"/>
  <c r="O40" i="9"/>
  <c r="C51" i="9"/>
  <c r="E62" i="9"/>
  <c r="E74" i="9" s="1"/>
  <c r="C62" i="9"/>
  <c r="C6" i="13" s="1"/>
  <c r="E61" i="9"/>
  <c r="E5" i="13" s="1"/>
  <c r="C3" i="9"/>
  <c r="E3" i="9"/>
  <c r="E59" i="9"/>
  <c r="E3" i="13" s="1"/>
  <c r="O2" i="9"/>
  <c r="Q24" i="9"/>
  <c r="C46" i="9"/>
  <c r="O24" i="9"/>
  <c r="I24" i="9"/>
  <c r="C24" i="9"/>
  <c r="O13" i="9"/>
  <c r="I13" i="9"/>
  <c r="C13" i="9"/>
  <c r="I2" i="9"/>
  <c r="O46" i="9"/>
  <c r="Q42" i="9"/>
  <c r="E65" i="9"/>
  <c r="E9" i="13" s="1"/>
  <c r="C65" i="9"/>
  <c r="C9" i="13" s="1"/>
  <c r="B65" i="9"/>
  <c r="B9" i="13" s="1"/>
  <c r="K37" i="9"/>
  <c r="Q37" i="9"/>
  <c r="Q48" i="9"/>
  <c r="K48" i="9"/>
  <c r="Q46" i="9"/>
  <c r="I46" i="9"/>
  <c r="K46" i="9"/>
  <c r="E46" i="9"/>
  <c r="C35" i="9"/>
  <c r="I35" i="9"/>
  <c r="O35" i="9"/>
  <c r="Q35" i="9"/>
  <c r="K35" i="9"/>
  <c r="E35" i="9"/>
  <c r="K24" i="9"/>
  <c r="E24" i="9"/>
  <c r="Q13" i="9"/>
  <c r="K13" i="9"/>
  <c r="E13" i="9"/>
  <c r="Q2" i="9"/>
  <c r="K2" i="9"/>
  <c r="E58" i="9"/>
  <c r="E2" i="13" s="1"/>
  <c r="N29" i="9"/>
  <c r="N24" i="9"/>
  <c r="B58" i="9"/>
  <c r="B2" i="13" s="1"/>
  <c r="C58" i="9"/>
  <c r="C2" i="13" s="1"/>
  <c r="I7" i="9"/>
  <c r="C7" i="9"/>
  <c r="O51" i="9"/>
  <c r="B63" i="9"/>
  <c r="B7" i="13" s="1"/>
  <c r="C63" i="9"/>
  <c r="C7" i="13" s="1"/>
  <c r="I30" i="9"/>
  <c r="I8" i="9"/>
  <c r="C64" i="9"/>
  <c r="C8" i="13" s="1"/>
  <c r="C15" i="9"/>
  <c r="I15" i="9"/>
  <c r="O15" i="9"/>
  <c r="C26" i="9"/>
  <c r="I26" i="9"/>
  <c r="O26" i="9"/>
  <c r="I37" i="9"/>
  <c r="O37" i="9"/>
  <c r="C48" i="9"/>
  <c r="O3" i="9"/>
  <c r="C14" i="9"/>
  <c r="I14" i="9"/>
  <c r="O14" i="9"/>
  <c r="C25" i="9"/>
  <c r="I25" i="9"/>
  <c r="O25" i="9"/>
  <c r="C36" i="9"/>
  <c r="I36" i="9"/>
  <c r="O36" i="9"/>
  <c r="C47" i="9"/>
  <c r="C49" i="9"/>
  <c r="I38" i="9"/>
  <c r="O27" i="9"/>
  <c r="C61" i="9" s="1"/>
  <c r="C5" i="13" s="1"/>
  <c r="E6" i="13" l="1"/>
  <c r="D66" i="9"/>
  <c r="D10" i="13" s="1"/>
  <c r="C32" i="12"/>
  <c r="B66" i="9"/>
  <c r="B10" i="13" s="1"/>
  <c r="F32" i="12"/>
  <c r="D4" i="13"/>
  <c r="D2" i="13"/>
  <c r="D3" i="13"/>
  <c r="C5" i="12"/>
  <c r="C4" i="11"/>
  <c r="C4" i="12"/>
  <c r="C3" i="11"/>
  <c r="F92" i="12"/>
  <c r="F16" i="12"/>
  <c r="F16" i="11"/>
  <c r="F15" i="11"/>
  <c r="F15" i="12"/>
  <c r="F14" i="11"/>
  <c r="F14" i="12"/>
  <c r="F13" i="11"/>
  <c r="F13" i="12"/>
  <c r="F12" i="11"/>
  <c r="F20" i="12"/>
  <c r="F20" i="11"/>
  <c r="F18" i="12"/>
  <c r="F18" i="11"/>
  <c r="F19" i="12"/>
  <c r="F19" i="11"/>
  <c r="F21" i="12"/>
  <c r="F21" i="11"/>
  <c r="F28" i="12"/>
  <c r="F28" i="11"/>
  <c r="F26" i="12"/>
  <c r="F26" i="11"/>
  <c r="F25" i="11"/>
  <c r="F25" i="12"/>
  <c r="F24" i="11"/>
  <c r="F24" i="12"/>
  <c r="F23" i="11"/>
  <c r="F31" i="12"/>
  <c r="F31" i="11"/>
  <c r="F30" i="12"/>
  <c r="F30" i="11"/>
  <c r="F27" i="12"/>
  <c r="F27" i="11"/>
  <c r="F40" i="12"/>
  <c r="F40" i="11"/>
  <c r="F39" i="12"/>
  <c r="F39" i="11"/>
  <c r="F38" i="12"/>
  <c r="F38" i="11"/>
  <c r="F37" i="12"/>
  <c r="F37" i="11"/>
  <c r="F36" i="12"/>
  <c r="F36" i="11"/>
  <c r="F35" i="11"/>
  <c r="F35" i="12"/>
  <c r="F34" i="11"/>
  <c r="F34" i="12"/>
  <c r="F33" i="11"/>
  <c r="F33" i="12"/>
  <c r="F32" i="11"/>
  <c r="C43" i="12"/>
  <c r="C42" i="11"/>
  <c r="C44" i="12"/>
  <c r="C43" i="11"/>
  <c r="C45" i="12"/>
  <c r="C44" i="11"/>
  <c r="C46" i="12"/>
  <c r="C46" i="11"/>
  <c r="C45" i="11"/>
  <c r="C47" i="12"/>
  <c r="C47" i="11"/>
  <c r="C49" i="12"/>
  <c r="C49" i="11"/>
  <c r="C50" i="12"/>
  <c r="C50" i="11"/>
  <c r="C51" i="12"/>
  <c r="C51" i="11"/>
  <c r="F43" i="12"/>
  <c r="F42" i="11"/>
  <c r="F44" i="12"/>
  <c r="F43" i="11"/>
  <c r="F45" i="12"/>
  <c r="F44" i="11"/>
  <c r="F46" i="12"/>
  <c r="F46" i="11"/>
  <c r="F45" i="11"/>
  <c r="F47" i="12"/>
  <c r="F47" i="11"/>
  <c r="F48" i="12"/>
  <c r="F48" i="11"/>
  <c r="F49" i="12"/>
  <c r="F49" i="11"/>
  <c r="F50" i="12"/>
  <c r="F50" i="11"/>
  <c r="F51" i="12"/>
  <c r="F51" i="11"/>
  <c r="C53" i="12"/>
  <c r="C52" i="11"/>
  <c r="C54" i="12"/>
  <c r="C53" i="11"/>
  <c r="C55" i="12"/>
  <c r="C54" i="11"/>
  <c r="C56" i="12"/>
  <c r="C56" i="11"/>
  <c r="C55" i="11"/>
  <c r="C57" i="12"/>
  <c r="C57" i="11"/>
  <c r="C59" i="12"/>
  <c r="C59" i="11"/>
  <c r="C60" i="12"/>
  <c r="C60" i="11"/>
  <c r="C61" i="12"/>
  <c r="C61" i="11"/>
  <c r="F53" i="12"/>
  <c r="F52" i="11"/>
  <c r="F54" i="12"/>
  <c r="F53" i="11"/>
  <c r="F55" i="12"/>
  <c r="F54" i="11"/>
  <c r="F56" i="12"/>
  <c r="F56" i="11"/>
  <c r="F55" i="11"/>
  <c r="F57" i="12"/>
  <c r="F57" i="11"/>
  <c r="F58" i="12"/>
  <c r="F58" i="11"/>
  <c r="F59" i="12"/>
  <c r="F59" i="11"/>
  <c r="F60" i="12"/>
  <c r="F60" i="11"/>
  <c r="F61" i="12"/>
  <c r="F61" i="11"/>
  <c r="C63" i="12"/>
  <c r="C62" i="11"/>
  <c r="C64" i="12"/>
  <c r="C63" i="11"/>
  <c r="C65" i="12"/>
  <c r="C64" i="11"/>
  <c r="C66" i="12"/>
  <c r="C66" i="11"/>
  <c r="C65" i="11"/>
  <c r="C67" i="12"/>
  <c r="C67" i="11"/>
  <c r="C69" i="12"/>
  <c r="C69" i="11"/>
  <c r="C70" i="12"/>
  <c r="C70" i="11"/>
  <c r="C71" i="12"/>
  <c r="C71" i="11"/>
  <c r="F63" i="12"/>
  <c r="F62" i="11"/>
  <c r="F64" i="12"/>
  <c r="F63" i="11"/>
  <c r="F65" i="12"/>
  <c r="F64" i="11"/>
  <c r="F66" i="12"/>
  <c r="F66" i="11"/>
  <c r="F65" i="11"/>
  <c r="F67" i="12"/>
  <c r="F67" i="11"/>
  <c r="F68" i="12"/>
  <c r="F68" i="11"/>
  <c r="F69" i="12"/>
  <c r="F69" i="11"/>
  <c r="F70" i="12"/>
  <c r="F70" i="11"/>
  <c r="F71" i="12"/>
  <c r="F71" i="11"/>
  <c r="C73" i="12"/>
  <c r="C72" i="11"/>
  <c r="C74" i="12"/>
  <c r="C73" i="11"/>
  <c r="C75" i="12"/>
  <c r="C74" i="11"/>
  <c r="C76" i="12"/>
  <c r="C76" i="11"/>
  <c r="C75" i="11"/>
  <c r="C77" i="12"/>
  <c r="C77" i="11"/>
  <c r="C79" i="12"/>
  <c r="C79" i="11"/>
  <c r="C80" i="12"/>
  <c r="C80" i="11"/>
  <c r="C81" i="12"/>
  <c r="C81" i="11"/>
  <c r="F74" i="12"/>
  <c r="F73" i="11"/>
  <c r="F75" i="12"/>
  <c r="F74" i="11"/>
  <c r="F76" i="12"/>
  <c r="F76" i="11"/>
  <c r="F75" i="11"/>
  <c r="F77" i="12"/>
  <c r="F77" i="11"/>
  <c r="F78" i="12"/>
  <c r="F78" i="11"/>
  <c r="F79" i="12"/>
  <c r="F79" i="11"/>
  <c r="F80" i="12"/>
  <c r="F80" i="11"/>
  <c r="F81" i="12"/>
  <c r="F81" i="11"/>
  <c r="F73" i="12"/>
  <c r="F72" i="11"/>
  <c r="F83" i="12"/>
  <c r="F82" i="11"/>
  <c r="F84" i="12"/>
  <c r="F83" i="11"/>
  <c r="F85" i="12"/>
  <c r="F84" i="11"/>
  <c r="F86" i="12"/>
  <c r="F86" i="11"/>
  <c r="F85" i="11"/>
  <c r="F87" i="12"/>
  <c r="F87" i="11"/>
  <c r="F88" i="12"/>
  <c r="F88" i="11"/>
  <c r="F89" i="12"/>
  <c r="F89" i="11"/>
  <c r="F90" i="12"/>
  <c r="F90" i="11"/>
  <c r="F91" i="12"/>
  <c r="F91" i="11"/>
  <c r="F110" i="12"/>
  <c r="F110" i="11"/>
  <c r="F111" i="12"/>
  <c r="F111" i="11"/>
  <c r="F109" i="12"/>
  <c r="F109" i="11"/>
  <c r="F103" i="12"/>
  <c r="F102" i="11"/>
  <c r="F104" i="12"/>
  <c r="F103" i="11"/>
  <c r="F105" i="12"/>
  <c r="F104" i="11"/>
  <c r="F106" i="12"/>
  <c r="F106" i="11"/>
  <c r="F105" i="11"/>
  <c r="F107" i="12"/>
  <c r="F107" i="11"/>
  <c r="F108" i="12"/>
  <c r="F108" i="11"/>
  <c r="F120" i="12"/>
  <c r="F120" i="11"/>
  <c r="F119" i="12"/>
  <c r="F119" i="11"/>
  <c r="F118" i="12"/>
  <c r="F118" i="11"/>
  <c r="F117" i="12"/>
  <c r="F117" i="11"/>
  <c r="F116" i="12"/>
  <c r="F116" i="11"/>
  <c r="F115" i="11"/>
  <c r="F115" i="12"/>
  <c r="F114" i="11"/>
  <c r="F113" i="12"/>
  <c r="F112" i="11"/>
  <c r="F114" i="12"/>
  <c r="F113" i="11"/>
  <c r="F121" i="12"/>
  <c r="F121" i="11"/>
  <c r="F130" i="12"/>
  <c r="F130" i="11"/>
  <c r="F129" i="12"/>
  <c r="F129" i="11"/>
  <c r="F128" i="12"/>
  <c r="F128" i="11"/>
  <c r="F127" i="12"/>
  <c r="F127" i="11"/>
  <c r="F125" i="12"/>
  <c r="F124" i="11"/>
  <c r="F124" i="12"/>
  <c r="F123" i="11"/>
  <c r="F123" i="12"/>
  <c r="F122" i="11"/>
  <c r="F126" i="12"/>
  <c r="F126" i="11"/>
  <c r="F125" i="11"/>
  <c r="F134" i="12"/>
  <c r="F133" i="11"/>
  <c r="F141" i="12"/>
  <c r="F141" i="11"/>
  <c r="F140" i="12"/>
  <c r="F140" i="11"/>
  <c r="F139" i="12"/>
  <c r="F139" i="11"/>
  <c r="F138" i="12"/>
  <c r="F138" i="11"/>
  <c r="F137" i="12"/>
  <c r="F137" i="11"/>
  <c r="F149" i="12"/>
  <c r="F149" i="11"/>
  <c r="F150" i="12"/>
  <c r="F150" i="11"/>
  <c r="F151" i="12"/>
  <c r="F151" i="11"/>
  <c r="F143" i="12"/>
  <c r="F142" i="11"/>
  <c r="F144" i="12"/>
  <c r="F143" i="11"/>
  <c r="F145" i="12"/>
  <c r="F144" i="11"/>
  <c r="F146" i="12"/>
  <c r="F146" i="11"/>
  <c r="F145" i="11"/>
  <c r="F147" i="12"/>
  <c r="F147" i="11"/>
  <c r="F148" i="12"/>
  <c r="F148" i="11"/>
  <c r="F160" i="12"/>
  <c r="F160" i="11"/>
  <c r="F159" i="12"/>
  <c r="F159" i="11"/>
  <c r="F158" i="12"/>
  <c r="F158" i="11"/>
  <c r="F157" i="12"/>
  <c r="F157" i="11"/>
  <c r="F156" i="12"/>
  <c r="F156" i="11"/>
  <c r="F155" i="11"/>
  <c r="F155" i="12"/>
  <c r="F154" i="11"/>
  <c r="F154" i="12"/>
  <c r="F153" i="11"/>
  <c r="F153" i="12"/>
  <c r="F152" i="11"/>
  <c r="F41" i="12"/>
  <c r="F41" i="11"/>
  <c r="F131" i="12"/>
  <c r="F131" i="11"/>
  <c r="F161" i="12"/>
  <c r="F161" i="11"/>
  <c r="F135" i="12"/>
  <c r="F134" i="11"/>
  <c r="F29" i="12"/>
  <c r="F29" i="11"/>
  <c r="F17" i="12"/>
  <c r="F17" i="11"/>
  <c r="F133" i="12"/>
  <c r="F132" i="11"/>
  <c r="F136" i="12"/>
  <c r="F136" i="11"/>
  <c r="F135" i="11"/>
  <c r="C153" i="12"/>
  <c r="C152" i="11"/>
  <c r="C154" i="12"/>
  <c r="C153" i="11"/>
  <c r="C155" i="12"/>
  <c r="C154" i="11"/>
  <c r="C156" i="12"/>
  <c r="C156" i="11"/>
  <c r="C155" i="11"/>
  <c r="C157" i="12"/>
  <c r="C157" i="11"/>
  <c r="C159" i="12"/>
  <c r="C159" i="11"/>
  <c r="C160" i="12"/>
  <c r="C160" i="11"/>
  <c r="C161" i="12"/>
  <c r="C161" i="11"/>
  <c r="C143" i="12"/>
  <c r="C142" i="11"/>
  <c r="C144" i="12"/>
  <c r="C143" i="11"/>
  <c r="C145" i="12"/>
  <c r="C144" i="11"/>
  <c r="C146" i="12"/>
  <c r="C146" i="11"/>
  <c r="C145" i="11"/>
  <c r="C147" i="12"/>
  <c r="C147" i="11"/>
  <c r="C149" i="12"/>
  <c r="C149" i="11"/>
  <c r="C150" i="12"/>
  <c r="C150" i="11"/>
  <c r="C151" i="12"/>
  <c r="C151" i="11"/>
  <c r="C23" i="12"/>
  <c r="C22" i="11"/>
  <c r="C24" i="12"/>
  <c r="C23" i="11"/>
  <c r="C25" i="12"/>
  <c r="C24" i="11"/>
  <c r="C26" i="12"/>
  <c r="C26" i="11"/>
  <c r="C25" i="11"/>
  <c r="C27" i="12"/>
  <c r="C27" i="11"/>
  <c r="C29" i="12"/>
  <c r="C29" i="11"/>
  <c r="C30" i="12"/>
  <c r="C30" i="11"/>
  <c r="C31" i="12"/>
  <c r="C31" i="11"/>
  <c r="C3" i="12"/>
  <c r="C2" i="11"/>
  <c r="C14" i="12"/>
  <c r="C13" i="11"/>
  <c r="C15" i="12"/>
  <c r="C14" i="11"/>
  <c r="C16" i="12"/>
  <c r="C16" i="11"/>
  <c r="C15" i="11"/>
  <c r="C17" i="12"/>
  <c r="C17" i="11"/>
  <c r="C19" i="12"/>
  <c r="C19" i="11"/>
  <c r="C20" i="12"/>
  <c r="C20" i="11"/>
  <c r="C21" i="12"/>
  <c r="C21" i="11"/>
  <c r="C13" i="12"/>
  <c r="C12" i="11"/>
  <c r="C83" i="12"/>
  <c r="C82" i="11"/>
  <c r="C84" i="12"/>
  <c r="C83" i="11"/>
  <c r="C85" i="12"/>
  <c r="C84" i="11"/>
  <c r="C86" i="12"/>
  <c r="C86" i="11"/>
  <c r="C85" i="11"/>
  <c r="C87" i="12"/>
  <c r="C87" i="11"/>
  <c r="C89" i="12"/>
  <c r="C89" i="11"/>
  <c r="C90" i="12"/>
  <c r="C90" i="11"/>
  <c r="C91" i="12"/>
  <c r="C91" i="11"/>
  <c r="C93" i="12"/>
  <c r="C92" i="11"/>
  <c r="C94" i="12"/>
  <c r="C93" i="11"/>
  <c r="C95" i="12"/>
  <c r="C94" i="11"/>
  <c r="C96" i="12"/>
  <c r="C96" i="11"/>
  <c r="C95" i="11"/>
  <c r="C97" i="12"/>
  <c r="C97" i="11"/>
  <c r="C99" i="12"/>
  <c r="C99" i="11"/>
  <c r="C100" i="12"/>
  <c r="C100" i="11"/>
  <c r="C101" i="12"/>
  <c r="C101" i="11"/>
  <c r="C103" i="12"/>
  <c r="C102" i="11"/>
  <c r="C104" i="12"/>
  <c r="C103" i="11"/>
  <c r="C105" i="12"/>
  <c r="C104" i="11"/>
  <c r="C106" i="12"/>
  <c r="C106" i="11"/>
  <c r="C105" i="11"/>
  <c r="C109" i="12"/>
  <c r="C109" i="11"/>
  <c r="C110" i="12"/>
  <c r="C110" i="11"/>
  <c r="C111" i="12"/>
  <c r="C111" i="11"/>
  <c r="C107" i="12"/>
  <c r="C107" i="11"/>
  <c r="C113" i="12"/>
  <c r="C112" i="11"/>
  <c r="C114" i="12"/>
  <c r="C113" i="11"/>
  <c r="C115" i="12"/>
  <c r="C114" i="11"/>
  <c r="C116" i="12"/>
  <c r="C116" i="11"/>
  <c r="C115" i="11"/>
  <c r="C117" i="12"/>
  <c r="C117" i="11"/>
  <c r="C119" i="12"/>
  <c r="C119" i="11"/>
  <c r="C120" i="12"/>
  <c r="C120" i="11"/>
  <c r="C121" i="12"/>
  <c r="C121" i="11"/>
  <c r="C123" i="12"/>
  <c r="C122" i="11"/>
  <c r="C124" i="12"/>
  <c r="C123" i="11"/>
  <c r="C125" i="12"/>
  <c r="C124" i="11"/>
  <c r="C126" i="12"/>
  <c r="C126" i="11"/>
  <c r="C125" i="11"/>
  <c r="C127" i="12"/>
  <c r="C127" i="11"/>
  <c r="C129" i="12"/>
  <c r="C129" i="11"/>
  <c r="C130" i="12"/>
  <c r="C130" i="11"/>
  <c r="C131" i="12"/>
  <c r="C131" i="11"/>
  <c r="C133" i="12"/>
  <c r="C132" i="11"/>
  <c r="C134" i="12"/>
  <c r="C133" i="11"/>
  <c r="C135" i="12"/>
  <c r="C134" i="11"/>
  <c r="C136" i="12"/>
  <c r="C136" i="11"/>
  <c r="C135" i="11"/>
  <c r="C137" i="12"/>
  <c r="C137" i="11"/>
  <c r="C139" i="12"/>
  <c r="C139" i="11"/>
  <c r="C140" i="12"/>
  <c r="C140" i="11"/>
  <c r="C141" i="12"/>
  <c r="C141" i="11"/>
  <c r="C33" i="12"/>
  <c r="C32" i="11"/>
  <c r="C34" i="12"/>
  <c r="C33" i="11"/>
  <c r="C35" i="12"/>
  <c r="C34" i="11"/>
  <c r="C36" i="12"/>
  <c r="C36" i="11"/>
  <c r="C35" i="11"/>
  <c r="C37" i="12"/>
  <c r="C37" i="11"/>
  <c r="C39" i="12"/>
  <c r="C39" i="11"/>
  <c r="C40" i="12"/>
  <c r="C40" i="11"/>
  <c r="C41" i="12"/>
  <c r="C41" i="11"/>
  <c r="E152" i="12"/>
  <c r="D152" i="12"/>
  <c r="E142" i="12"/>
  <c r="D142" i="12"/>
  <c r="E132" i="12"/>
  <c r="D132" i="12"/>
  <c r="E122" i="12"/>
  <c r="D122" i="12"/>
  <c r="E112" i="12"/>
  <c r="D112" i="12"/>
  <c r="E102" i="12"/>
  <c r="D102" i="12"/>
  <c r="E92" i="12"/>
  <c r="D92" i="12"/>
  <c r="E82" i="12"/>
  <c r="D82" i="12"/>
  <c r="E72" i="12"/>
  <c r="D72" i="12"/>
  <c r="E62" i="12"/>
  <c r="D62" i="12"/>
  <c r="K140" i="9"/>
  <c r="E52" i="12"/>
  <c r="D52" i="12"/>
  <c r="E42" i="12"/>
  <c r="D42" i="12"/>
  <c r="K116" i="9"/>
  <c r="K118" i="9"/>
  <c r="K122" i="9"/>
  <c r="E32" i="12"/>
  <c r="D32" i="12"/>
  <c r="D22" i="12"/>
  <c r="E22" i="12"/>
  <c r="D12" i="12"/>
  <c r="E12" i="12"/>
  <c r="C60" i="9"/>
  <c r="E60" i="9"/>
  <c r="C59" i="9"/>
  <c r="C3" i="13" s="1"/>
  <c r="E4" i="13" l="1"/>
  <c r="C4" i="13"/>
  <c r="C11" i="12"/>
  <c r="C11" i="11"/>
  <c r="C10" i="12"/>
  <c r="C10" i="11"/>
  <c r="C9" i="12"/>
  <c r="C9" i="11"/>
  <c r="C6" i="12"/>
  <c r="C6" i="11"/>
  <c r="C5" i="11"/>
  <c r="C7" i="12"/>
  <c r="C7" i="11"/>
  <c r="F11" i="12"/>
  <c r="F11" i="11"/>
  <c r="F10" i="12"/>
  <c r="F10" i="11"/>
  <c r="F9" i="12"/>
  <c r="F9" i="11"/>
  <c r="F7" i="12"/>
  <c r="F7" i="11"/>
  <c r="F6" i="12"/>
  <c r="F6" i="11"/>
  <c r="F5" i="11"/>
  <c r="F5" i="12"/>
  <c r="F4" i="11"/>
  <c r="F4" i="12"/>
  <c r="F3" i="11"/>
  <c r="F3" i="12"/>
  <c r="F2" i="11"/>
  <c r="F8" i="12"/>
  <c r="F8" i="11"/>
  <c r="D18" i="12"/>
  <c r="D18" i="11"/>
  <c r="D19" i="12"/>
  <c r="D19" i="11"/>
  <c r="D20" i="12"/>
  <c r="D20" i="11"/>
  <c r="D21" i="12"/>
  <c r="D21" i="11"/>
  <c r="D14" i="12"/>
  <c r="D13" i="11"/>
  <c r="D15" i="12"/>
  <c r="D14" i="11"/>
  <c r="D16" i="12"/>
  <c r="D16" i="11"/>
  <c r="D15" i="11"/>
  <c r="D17" i="12"/>
  <c r="D17" i="11"/>
  <c r="D13" i="12"/>
  <c r="D12" i="11"/>
  <c r="E26" i="12"/>
  <c r="E26" i="11"/>
  <c r="E25" i="11"/>
  <c r="E27" i="12"/>
  <c r="E27" i="11"/>
  <c r="E28" i="12"/>
  <c r="E28" i="11"/>
  <c r="E23" i="12"/>
  <c r="E22" i="11"/>
  <c r="E29" i="12"/>
  <c r="E29" i="11"/>
  <c r="E30" i="12"/>
  <c r="E30" i="11"/>
  <c r="E31" i="12"/>
  <c r="E31" i="11"/>
  <c r="E24" i="12"/>
  <c r="E23" i="11"/>
  <c r="E25" i="12"/>
  <c r="E24" i="11"/>
  <c r="D24" i="12"/>
  <c r="D23" i="11"/>
  <c r="D25" i="12"/>
  <c r="D24" i="11"/>
  <c r="D26" i="12"/>
  <c r="D26" i="11"/>
  <c r="D25" i="11"/>
  <c r="D27" i="12"/>
  <c r="D27" i="11"/>
  <c r="D29" i="12"/>
  <c r="D29" i="11"/>
  <c r="D30" i="12"/>
  <c r="D30" i="11"/>
  <c r="D28" i="12"/>
  <c r="D28" i="11"/>
  <c r="D31" i="12"/>
  <c r="D31" i="11"/>
  <c r="D23" i="12"/>
  <c r="D22" i="11"/>
  <c r="D33" i="12"/>
  <c r="D32" i="11"/>
  <c r="D34" i="12"/>
  <c r="D33" i="11"/>
  <c r="D35" i="12"/>
  <c r="D34" i="11"/>
  <c r="D41" i="12"/>
  <c r="D41" i="11"/>
  <c r="D36" i="12"/>
  <c r="D36" i="11"/>
  <c r="D35" i="11"/>
  <c r="D37" i="12"/>
  <c r="D37" i="11"/>
  <c r="D38" i="12"/>
  <c r="D38" i="11"/>
  <c r="D39" i="12"/>
  <c r="D39" i="11"/>
  <c r="D40" i="12"/>
  <c r="D40" i="11"/>
  <c r="E34" i="12"/>
  <c r="E33" i="11"/>
  <c r="E35" i="12"/>
  <c r="E34" i="11"/>
  <c r="E36" i="12"/>
  <c r="E36" i="11"/>
  <c r="E35" i="11"/>
  <c r="E37" i="12"/>
  <c r="E37" i="11"/>
  <c r="E38" i="12"/>
  <c r="E38" i="11"/>
  <c r="E39" i="12"/>
  <c r="E39" i="11"/>
  <c r="E40" i="12"/>
  <c r="E40" i="11"/>
  <c r="E41" i="12"/>
  <c r="E41" i="11"/>
  <c r="E33" i="12"/>
  <c r="E32" i="11"/>
  <c r="D43" i="12"/>
  <c r="D42" i="11"/>
  <c r="D44" i="12"/>
  <c r="D43" i="11"/>
  <c r="D45" i="12"/>
  <c r="D44" i="11"/>
  <c r="D46" i="12"/>
  <c r="D46" i="11"/>
  <c r="D45" i="11"/>
  <c r="D47" i="12"/>
  <c r="D47" i="11"/>
  <c r="D48" i="12"/>
  <c r="D48" i="11"/>
  <c r="D49" i="12"/>
  <c r="D49" i="11"/>
  <c r="D50" i="12"/>
  <c r="D50" i="11"/>
  <c r="D51" i="12"/>
  <c r="D51" i="11"/>
  <c r="E43" i="12"/>
  <c r="E42" i="11"/>
  <c r="E44" i="12"/>
  <c r="E43" i="11"/>
  <c r="E45" i="12"/>
  <c r="E44" i="11"/>
  <c r="E46" i="12"/>
  <c r="E46" i="11"/>
  <c r="E45" i="11"/>
  <c r="E47" i="12"/>
  <c r="E47" i="11"/>
  <c r="E48" i="12"/>
  <c r="E48" i="11"/>
  <c r="E49" i="12"/>
  <c r="E49" i="11"/>
  <c r="E50" i="12"/>
  <c r="E50" i="11"/>
  <c r="E51" i="12"/>
  <c r="E51" i="11"/>
  <c r="D53" i="12"/>
  <c r="D52" i="11"/>
  <c r="D54" i="12"/>
  <c r="D53" i="11"/>
  <c r="D55" i="12"/>
  <c r="D54" i="11"/>
  <c r="D56" i="12"/>
  <c r="D56" i="11"/>
  <c r="D55" i="11"/>
  <c r="D57" i="12"/>
  <c r="D57" i="11"/>
  <c r="D58" i="12"/>
  <c r="D58" i="11"/>
  <c r="D59" i="12"/>
  <c r="D59" i="11"/>
  <c r="D60" i="12"/>
  <c r="D60" i="11"/>
  <c r="D61" i="12"/>
  <c r="D61" i="11"/>
  <c r="E53" i="12"/>
  <c r="E52" i="11"/>
  <c r="E54" i="12"/>
  <c r="E53" i="11"/>
  <c r="E55" i="12"/>
  <c r="E54" i="11"/>
  <c r="E56" i="12"/>
  <c r="E56" i="11"/>
  <c r="E55" i="11"/>
  <c r="E57" i="12"/>
  <c r="E57" i="11"/>
  <c r="E58" i="12"/>
  <c r="E58" i="11"/>
  <c r="E59" i="12"/>
  <c r="E59" i="11"/>
  <c r="E60" i="12"/>
  <c r="E60" i="11"/>
  <c r="E61" i="12"/>
  <c r="E61" i="11"/>
  <c r="D64" i="12"/>
  <c r="D63" i="11"/>
  <c r="D65" i="12"/>
  <c r="D64" i="11"/>
  <c r="D66" i="12"/>
  <c r="D66" i="11"/>
  <c r="D65" i="11"/>
  <c r="D67" i="12"/>
  <c r="D67" i="11"/>
  <c r="D68" i="12"/>
  <c r="D68" i="11"/>
  <c r="D69" i="12"/>
  <c r="D69" i="11"/>
  <c r="D70" i="12"/>
  <c r="D70" i="11"/>
  <c r="D71" i="12"/>
  <c r="D71" i="11"/>
  <c r="D63" i="12"/>
  <c r="D62" i="11"/>
  <c r="E63" i="12"/>
  <c r="E62" i="11"/>
  <c r="E64" i="12"/>
  <c r="E63" i="11"/>
  <c r="E65" i="12"/>
  <c r="E64" i="11"/>
  <c r="E66" i="12"/>
  <c r="E66" i="11"/>
  <c r="E65" i="11"/>
  <c r="E67" i="12"/>
  <c r="E67" i="11"/>
  <c r="E68" i="12"/>
  <c r="E68" i="11"/>
  <c r="E69" i="12"/>
  <c r="E69" i="11"/>
  <c r="E70" i="12"/>
  <c r="E70" i="11"/>
  <c r="E71" i="12"/>
  <c r="E71" i="11"/>
  <c r="D73" i="12"/>
  <c r="D72" i="11"/>
  <c r="D74" i="12"/>
  <c r="D73" i="11"/>
  <c r="D75" i="12"/>
  <c r="D74" i="11"/>
  <c r="D76" i="12"/>
  <c r="D75" i="11"/>
  <c r="D77" i="12"/>
  <c r="D77" i="11"/>
  <c r="D78" i="12"/>
  <c r="D78" i="11"/>
  <c r="D79" i="12"/>
  <c r="D79" i="11"/>
  <c r="D80" i="12"/>
  <c r="D80" i="11"/>
  <c r="D81" i="12"/>
  <c r="D81" i="11"/>
  <c r="E73" i="12"/>
  <c r="E72" i="11"/>
  <c r="E74" i="12"/>
  <c r="E73" i="11"/>
  <c r="E75" i="12"/>
  <c r="E74" i="11"/>
  <c r="E76" i="12"/>
  <c r="E76" i="11"/>
  <c r="E75" i="11"/>
  <c r="E77" i="12"/>
  <c r="E77" i="11"/>
  <c r="E78" i="12"/>
  <c r="E78" i="11"/>
  <c r="E79" i="12"/>
  <c r="E79" i="11"/>
  <c r="E80" i="12"/>
  <c r="E80" i="11"/>
  <c r="E81" i="12"/>
  <c r="E81" i="11"/>
  <c r="D83" i="12"/>
  <c r="D82" i="11"/>
  <c r="D84" i="12"/>
  <c r="D83" i="11"/>
  <c r="D85" i="12"/>
  <c r="D84" i="11"/>
  <c r="D86" i="12"/>
  <c r="D86" i="11"/>
  <c r="D85" i="11"/>
  <c r="D87" i="12"/>
  <c r="D87" i="11"/>
  <c r="D88" i="12"/>
  <c r="D88" i="11"/>
  <c r="D89" i="12"/>
  <c r="D89" i="11"/>
  <c r="D90" i="12"/>
  <c r="D90" i="11"/>
  <c r="D91" i="12"/>
  <c r="D91" i="11"/>
  <c r="E83" i="12"/>
  <c r="E82" i="11"/>
  <c r="E84" i="12"/>
  <c r="E83" i="11"/>
  <c r="E85" i="12"/>
  <c r="E84" i="11"/>
  <c r="E86" i="12"/>
  <c r="E86" i="11"/>
  <c r="E85" i="11"/>
  <c r="E87" i="12"/>
  <c r="E87" i="11"/>
  <c r="E88" i="12"/>
  <c r="E88" i="11"/>
  <c r="E89" i="12"/>
  <c r="E89" i="11"/>
  <c r="E90" i="12"/>
  <c r="E90" i="11"/>
  <c r="E91" i="12"/>
  <c r="E91" i="11"/>
  <c r="D93" i="12"/>
  <c r="D92" i="11"/>
  <c r="D94" i="12"/>
  <c r="D93" i="11"/>
  <c r="D95" i="12"/>
  <c r="D94" i="11"/>
  <c r="D96" i="12"/>
  <c r="D96" i="11"/>
  <c r="D95" i="11"/>
  <c r="D97" i="12"/>
  <c r="D97" i="11"/>
  <c r="D98" i="12"/>
  <c r="D98" i="11"/>
  <c r="D99" i="12"/>
  <c r="D99" i="11"/>
  <c r="D100" i="12"/>
  <c r="D100" i="11"/>
  <c r="D101" i="12"/>
  <c r="D101" i="11"/>
  <c r="E93" i="12"/>
  <c r="E92" i="11"/>
  <c r="E94" i="12"/>
  <c r="E93" i="11"/>
  <c r="E95" i="12"/>
  <c r="E94" i="11"/>
  <c r="E96" i="12"/>
  <c r="E96" i="11"/>
  <c r="E95" i="11"/>
  <c r="E97" i="12"/>
  <c r="E97" i="11"/>
  <c r="E98" i="12"/>
  <c r="E98" i="11"/>
  <c r="E99" i="12"/>
  <c r="E99" i="11"/>
  <c r="E100" i="12"/>
  <c r="E100" i="11"/>
  <c r="E101" i="12"/>
  <c r="E101" i="11"/>
  <c r="D111" i="12"/>
  <c r="D111" i="11"/>
  <c r="D103" i="12"/>
  <c r="D102" i="11"/>
  <c r="D104" i="12"/>
  <c r="D103" i="11"/>
  <c r="D105" i="12"/>
  <c r="D104" i="11"/>
  <c r="D106" i="12"/>
  <c r="D106" i="11"/>
  <c r="D105" i="11"/>
  <c r="D107" i="12"/>
  <c r="D107" i="11"/>
  <c r="D108" i="12"/>
  <c r="D108" i="11"/>
  <c r="D109" i="12"/>
  <c r="D109" i="11"/>
  <c r="D110" i="12"/>
  <c r="D110" i="11"/>
  <c r="E107" i="12"/>
  <c r="E107" i="11"/>
  <c r="E108" i="12"/>
  <c r="E108" i="11"/>
  <c r="E109" i="12"/>
  <c r="E109" i="11"/>
  <c r="E106" i="12"/>
  <c r="E106" i="11"/>
  <c r="E105" i="11"/>
  <c r="E110" i="12"/>
  <c r="E110" i="11"/>
  <c r="E111" i="12"/>
  <c r="E111" i="11"/>
  <c r="E103" i="12"/>
  <c r="E102" i="11"/>
  <c r="E104" i="12"/>
  <c r="E103" i="11"/>
  <c r="E105" i="12"/>
  <c r="E104" i="11"/>
  <c r="D120" i="12"/>
  <c r="D120" i="11"/>
  <c r="D121" i="12"/>
  <c r="D121" i="11"/>
  <c r="D119" i="12"/>
  <c r="D119" i="11"/>
  <c r="D113" i="12"/>
  <c r="D112" i="11"/>
  <c r="D118" i="12"/>
  <c r="D118" i="11"/>
  <c r="D114" i="12"/>
  <c r="D113" i="11"/>
  <c r="D115" i="12"/>
  <c r="D114" i="11"/>
  <c r="D116" i="12"/>
  <c r="D116" i="11"/>
  <c r="D115" i="11"/>
  <c r="D117" i="12"/>
  <c r="D117" i="11"/>
  <c r="E113" i="12"/>
  <c r="E112" i="11"/>
  <c r="E114" i="12"/>
  <c r="E113" i="11"/>
  <c r="E115" i="12"/>
  <c r="E114" i="11"/>
  <c r="E117" i="12"/>
  <c r="E117" i="11"/>
  <c r="E118" i="12"/>
  <c r="E118" i="11"/>
  <c r="E119" i="12"/>
  <c r="E119" i="11"/>
  <c r="E120" i="12"/>
  <c r="E120" i="11"/>
  <c r="E121" i="12"/>
  <c r="E121" i="11"/>
  <c r="E116" i="12"/>
  <c r="E116" i="11"/>
  <c r="E115" i="11"/>
  <c r="D125" i="12"/>
  <c r="D124" i="11"/>
  <c r="D126" i="12"/>
  <c r="D126" i="11"/>
  <c r="D125" i="11"/>
  <c r="D127" i="12"/>
  <c r="D127" i="11"/>
  <c r="D128" i="12"/>
  <c r="D128" i="11"/>
  <c r="D129" i="12"/>
  <c r="D129" i="11"/>
  <c r="D130" i="12"/>
  <c r="D130" i="11"/>
  <c r="D131" i="12"/>
  <c r="D131" i="11"/>
  <c r="D123" i="12"/>
  <c r="D122" i="11"/>
  <c r="D124" i="12"/>
  <c r="D123" i="11"/>
  <c r="E130" i="12"/>
  <c r="E130" i="11"/>
  <c r="E131" i="12"/>
  <c r="E131" i="11"/>
  <c r="E123" i="12"/>
  <c r="E122" i="11"/>
  <c r="E124" i="12"/>
  <c r="E123" i="11"/>
  <c r="E125" i="12"/>
  <c r="E124" i="11"/>
  <c r="E126" i="12"/>
  <c r="E126" i="11"/>
  <c r="E125" i="11"/>
  <c r="E129" i="12"/>
  <c r="E129" i="11"/>
  <c r="E127" i="12"/>
  <c r="E127" i="11"/>
  <c r="E128" i="12"/>
  <c r="E128" i="11"/>
  <c r="D133" i="12"/>
  <c r="D132" i="11"/>
  <c r="D134" i="12"/>
  <c r="D133" i="11"/>
  <c r="D135" i="12"/>
  <c r="D134" i="11"/>
  <c r="D136" i="12"/>
  <c r="D136" i="11"/>
  <c r="D135" i="11"/>
  <c r="D137" i="12"/>
  <c r="D137" i="11"/>
  <c r="D138" i="12"/>
  <c r="D138" i="11"/>
  <c r="D139" i="12"/>
  <c r="D139" i="11"/>
  <c r="D140" i="12"/>
  <c r="D140" i="11"/>
  <c r="D141" i="12"/>
  <c r="D141" i="11"/>
  <c r="E138" i="12"/>
  <c r="E138" i="11"/>
  <c r="E139" i="12"/>
  <c r="E139" i="11"/>
  <c r="E137" i="12"/>
  <c r="E137" i="11"/>
  <c r="E140" i="12"/>
  <c r="E140" i="11"/>
  <c r="E136" i="12"/>
  <c r="E136" i="11"/>
  <c r="E135" i="11"/>
  <c r="E141" i="12"/>
  <c r="E141" i="11"/>
  <c r="E133" i="12"/>
  <c r="E132" i="11"/>
  <c r="E134" i="12"/>
  <c r="E133" i="11"/>
  <c r="E135" i="12"/>
  <c r="E134" i="11"/>
  <c r="D143" i="12"/>
  <c r="D142" i="11"/>
  <c r="D144" i="12"/>
  <c r="D143" i="11"/>
  <c r="D146" i="12"/>
  <c r="D146" i="11"/>
  <c r="D145" i="11"/>
  <c r="D145" i="12"/>
  <c r="D144" i="11"/>
  <c r="D147" i="12"/>
  <c r="D147" i="11"/>
  <c r="D148" i="12"/>
  <c r="D148" i="11"/>
  <c r="D149" i="12"/>
  <c r="D149" i="11"/>
  <c r="D150" i="12"/>
  <c r="D150" i="11"/>
  <c r="D151" i="12"/>
  <c r="D151" i="11"/>
  <c r="E151" i="12"/>
  <c r="E151" i="11"/>
  <c r="E143" i="12"/>
  <c r="E142" i="11"/>
  <c r="E144" i="12"/>
  <c r="E143" i="11"/>
  <c r="E145" i="12"/>
  <c r="E144" i="11"/>
  <c r="E146" i="12"/>
  <c r="E146" i="11"/>
  <c r="E145" i="11"/>
  <c r="E147" i="12"/>
  <c r="E147" i="11"/>
  <c r="E150" i="12"/>
  <c r="E150" i="11"/>
  <c r="E148" i="12"/>
  <c r="E148" i="11"/>
  <c r="E149" i="12"/>
  <c r="E149" i="11"/>
  <c r="D161" i="12"/>
  <c r="D161" i="11"/>
  <c r="D160" i="12"/>
  <c r="D160" i="11"/>
  <c r="D154" i="12"/>
  <c r="D153" i="11"/>
  <c r="D155" i="12"/>
  <c r="D154" i="11"/>
  <c r="D156" i="12"/>
  <c r="D156" i="11"/>
  <c r="D155" i="11"/>
  <c r="D157" i="12"/>
  <c r="D157" i="11"/>
  <c r="D158" i="12"/>
  <c r="D158" i="11"/>
  <c r="D159" i="12"/>
  <c r="D159" i="11"/>
  <c r="D153" i="12"/>
  <c r="D152" i="11"/>
  <c r="E153" i="12"/>
  <c r="E152" i="11"/>
  <c r="E154" i="12"/>
  <c r="E153" i="11"/>
  <c r="E155" i="12"/>
  <c r="E154" i="11"/>
  <c r="E156" i="12"/>
  <c r="E156" i="11"/>
  <c r="E155" i="11"/>
  <c r="E157" i="12"/>
  <c r="E157" i="11"/>
  <c r="E158" i="12"/>
  <c r="E158" i="11"/>
  <c r="E159" i="12"/>
  <c r="E159" i="11"/>
  <c r="E160" i="12"/>
  <c r="E160" i="11"/>
  <c r="E161" i="12"/>
  <c r="E161" i="11"/>
  <c r="F98" i="12"/>
  <c r="F98" i="11"/>
  <c r="F93" i="12"/>
  <c r="F92" i="11"/>
  <c r="F94" i="12"/>
  <c r="F93" i="11"/>
  <c r="F95" i="12"/>
  <c r="F94" i="11"/>
  <c r="F96" i="12"/>
  <c r="F96" i="11"/>
  <c r="F95" i="11"/>
  <c r="F97" i="12"/>
  <c r="F97" i="11"/>
  <c r="F99" i="12"/>
  <c r="F99" i="11"/>
  <c r="F100" i="12"/>
  <c r="F100" i="11"/>
  <c r="F101" i="12"/>
  <c r="F101" i="11"/>
  <c r="E13" i="12"/>
  <c r="E12" i="11"/>
  <c r="E14" i="12"/>
  <c r="E13" i="11"/>
  <c r="E15" i="12"/>
  <c r="E14" i="11"/>
  <c r="E16" i="12"/>
  <c r="E16" i="11"/>
  <c r="E15" i="11"/>
  <c r="E17" i="12"/>
  <c r="E17" i="11"/>
  <c r="E18" i="12"/>
  <c r="E18" i="11"/>
  <c r="E19" i="12"/>
  <c r="E19" i="11"/>
  <c r="E20" i="12"/>
  <c r="E20" i="11"/>
  <c r="E21" i="12"/>
  <c r="E21" i="11"/>
  <c r="L239" i="9"/>
  <c r="K239" i="9"/>
  <c r="J239" i="9"/>
  <c r="L241" i="9"/>
  <c r="J241" i="9"/>
  <c r="K241" i="9"/>
  <c r="J235" i="9"/>
  <c r="L235" i="9"/>
  <c r="K235" i="9"/>
  <c r="K243" i="9"/>
  <c r="L243" i="9"/>
  <c r="J243" i="9"/>
  <c r="K240" i="9"/>
  <c r="L240" i="9"/>
  <c r="J240" i="9"/>
  <c r="K236" i="9"/>
  <c r="L236" i="9"/>
  <c r="J236" i="9"/>
  <c r="J237" i="9"/>
  <c r="L237" i="9"/>
  <c r="K237" i="9"/>
  <c r="K242" i="9"/>
  <c r="J242" i="9"/>
  <c r="L242" i="9"/>
  <c r="K238" i="9"/>
  <c r="J238" i="9"/>
  <c r="L238" i="9"/>
  <c r="K230" i="9"/>
  <c r="L230" i="9"/>
  <c r="L232" i="9"/>
  <c r="K232" i="9"/>
  <c r="J232" i="9"/>
  <c r="J229" i="9"/>
  <c r="K229" i="9"/>
  <c r="L229" i="9"/>
  <c r="J224" i="9"/>
  <c r="K224" i="9"/>
  <c r="L224" i="9"/>
  <c r="L225" i="9"/>
  <c r="J225" i="9"/>
  <c r="K225" i="9"/>
  <c r="J227" i="9"/>
  <c r="L227" i="9"/>
  <c r="K227" i="9"/>
  <c r="L228" i="9"/>
  <c r="J228" i="9"/>
  <c r="K228" i="9"/>
  <c r="L231" i="9"/>
  <c r="K231" i="9"/>
  <c r="J231" i="9"/>
  <c r="J230" i="9"/>
  <c r="K226" i="9"/>
  <c r="L226" i="9"/>
  <c r="J226" i="9"/>
  <c r="J220" i="9"/>
  <c r="K220" i="9"/>
  <c r="L220" i="9"/>
  <c r="K217" i="9"/>
  <c r="L217" i="9"/>
  <c r="J217" i="9"/>
  <c r="K219" i="9"/>
  <c r="L219" i="9"/>
  <c r="J219" i="9"/>
  <c r="K221" i="9"/>
  <c r="J221" i="9"/>
  <c r="L221" i="9"/>
  <c r="L213" i="9"/>
  <c r="J213" i="9"/>
  <c r="K213" i="9"/>
  <c r="L214" i="9"/>
  <c r="K214" i="9"/>
  <c r="J214" i="9"/>
  <c r="L216" i="9"/>
  <c r="K216" i="9"/>
  <c r="J216" i="9"/>
  <c r="K218" i="9"/>
  <c r="L218" i="9"/>
  <c r="J218" i="9"/>
  <c r="J215" i="9"/>
  <c r="K215" i="9"/>
  <c r="L215" i="9"/>
  <c r="K208" i="9"/>
  <c r="J208" i="9"/>
  <c r="L208" i="9"/>
  <c r="J209" i="9"/>
  <c r="K209" i="9"/>
  <c r="L209" i="9"/>
  <c r="L210" i="9"/>
  <c r="K210" i="9"/>
  <c r="J210" i="9"/>
  <c r="K202" i="9"/>
  <c r="J202" i="9"/>
  <c r="L202" i="9"/>
  <c r="L203" i="9"/>
  <c r="K203" i="9"/>
  <c r="J203" i="9"/>
  <c r="K207" i="9"/>
  <c r="L207" i="9"/>
  <c r="J207" i="9"/>
  <c r="K204" i="9"/>
  <c r="L204" i="9"/>
  <c r="J204" i="9"/>
  <c r="L205" i="9"/>
  <c r="K205" i="9"/>
  <c r="J205" i="9"/>
  <c r="L206" i="9"/>
  <c r="K206" i="9"/>
  <c r="J206" i="9"/>
  <c r="K198" i="9"/>
  <c r="L198" i="9"/>
  <c r="J198" i="9"/>
  <c r="L199" i="9"/>
  <c r="K199" i="9"/>
  <c r="J199" i="9"/>
  <c r="L196" i="9"/>
  <c r="K196" i="9"/>
  <c r="J196" i="9"/>
  <c r="L193" i="9"/>
  <c r="J193" i="9"/>
  <c r="K193" i="9"/>
  <c r="K194" i="9"/>
  <c r="L194" i="9"/>
  <c r="J194" i="9"/>
  <c r="L197" i="9"/>
  <c r="K197" i="9"/>
  <c r="J197" i="9"/>
  <c r="L191" i="9"/>
  <c r="J191" i="9"/>
  <c r="K191" i="9"/>
  <c r="K192" i="9"/>
  <c r="L192" i="9"/>
  <c r="J192" i="9"/>
  <c r="J195" i="9"/>
  <c r="L195" i="9"/>
  <c r="K195" i="9"/>
  <c r="L181" i="9"/>
  <c r="J181" i="9"/>
  <c r="K181" i="9"/>
  <c r="J186" i="9"/>
  <c r="K186" i="9"/>
  <c r="L186" i="9"/>
  <c r="K182" i="9"/>
  <c r="L182" i="9"/>
  <c r="J182" i="9"/>
  <c r="J187" i="9"/>
  <c r="L187" i="9"/>
  <c r="K187" i="9"/>
  <c r="L188" i="9"/>
  <c r="K188" i="9"/>
  <c r="J188" i="9"/>
  <c r="L183" i="9"/>
  <c r="J183" i="9"/>
  <c r="K183" i="9"/>
  <c r="K185" i="9"/>
  <c r="L185" i="9"/>
  <c r="J185" i="9"/>
  <c r="L180" i="9"/>
  <c r="K180" i="9"/>
  <c r="J180" i="9"/>
  <c r="J184" i="9"/>
  <c r="K184" i="9"/>
  <c r="L184" i="9"/>
  <c r="L169" i="9"/>
  <c r="J169" i="9"/>
  <c r="K169" i="9"/>
  <c r="L170" i="9"/>
  <c r="J170" i="9"/>
  <c r="K170" i="9"/>
  <c r="L171" i="9"/>
  <c r="J171" i="9"/>
  <c r="K171" i="9"/>
  <c r="L172" i="9"/>
  <c r="K172" i="9"/>
  <c r="J172" i="9"/>
  <c r="L173" i="9"/>
  <c r="J173" i="9"/>
  <c r="K173" i="9"/>
  <c r="K174" i="9"/>
  <c r="J174" i="9"/>
  <c r="L174" i="9"/>
  <c r="L175" i="9"/>
  <c r="J175" i="9"/>
  <c r="K175" i="9"/>
  <c r="L176" i="9"/>
  <c r="K176" i="9"/>
  <c r="J176" i="9"/>
  <c r="L177" i="9"/>
  <c r="J177" i="9"/>
  <c r="K177" i="9"/>
  <c r="L158" i="9"/>
  <c r="K158" i="9"/>
  <c r="J158" i="9"/>
  <c r="L159" i="9"/>
  <c r="J159" i="9"/>
  <c r="K159" i="9"/>
  <c r="L160" i="9"/>
  <c r="K160" i="9"/>
  <c r="J160" i="9"/>
  <c r="L161" i="9"/>
  <c r="J161" i="9"/>
  <c r="K161" i="9"/>
  <c r="L162" i="9"/>
  <c r="K162" i="9"/>
  <c r="J162" i="9"/>
  <c r="L163" i="9"/>
  <c r="J163" i="9"/>
  <c r="K163" i="9"/>
  <c r="K164" i="9"/>
  <c r="L164" i="9"/>
  <c r="J164" i="9"/>
  <c r="L165" i="9"/>
  <c r="J165" i="9"/>
  <c r="K165" i="9"/>
  <c r="L166" i="9"/>
  <c r="K166" i="9"/>
  <c r="J166" i="9"/>
  <c r="L147" i="9"/>
  <c r="J147" i="9"/>
  <c r="K147" i="9"/>
  <c r="L148" i="9"/>
  <c r="K148" i="9"/>
  <c r="J148" i="9"/>
  <c r="L149" i="9"/>
  <c r="J149" i="9"/>
  <c r="K149" i="9"/>
  <c r="K150" i="9"/>
  <c r="L150" i="9"/>
  <c r="J150" i="9"/>
  <c r="L151" i="9"/>
  <c r="J151" i="9"/>
  <c r="K151" i="9"/>
  <c r="L152" i="9"/>
  <c r="K152" i="9"/>
  <c r="J152" i="9"/>
  <c r="L153" i="9"/>
  <c r="J153" i="9"/>
  <c r="K153" i="9"/>
  <c r="K154" i="9"/>
  <c r="L154" i="9"/>
  <c r="J154" i="9"/>
  <c r="L155" i="9"/>
  <c r="J155" i="9"/>
  <c r="K155" i="9"/>
  <c r="K137" i="9"/>
  <c r="J137" i="9"/>
  <c r="L137" i="9"/>
  <c r="K138" i="9"/>
  <c r="L138" i="9"/>
  <c r="J138" i="9"/>
  <c r="K139" i="9"/>
  <c r="J139" i="9"/>
  <c r="L139" i="9"/>
  <c r="L140" i="9"/>
  <c r="J140" i="9"/>
  <c r="K141" i="9"/>
  <c r="J141" i="9"/>
  <c r="L141" i="9"/>
  <c r="L142" i="9"/>
  <c r="K142" i="9"/>
  <c r="J142" i="9"/>
  <c r="K143" i="9"/>
  <c r="J143" i="9"/>
  <c r="L143" i="9"/>
  <c r="K144" i="9"/>
  <c r="L144" i="9"/>
  <c r="J144" i="9"/>
  <c r="K136" i="9"/>
  <c r="L136" i="9"/>
  <c r="J136" i="9"/>
  <c r="L125" i="9"/>
  <c r="J125" i="9"/>
  <c r="K125" i="9"/>
  <c r="L126" i="9"/>
  <c r="J126" i="9"/>
  <c r="K126" i="9"/>
  <c r="L127" i="9"/>
  <c r="J127" i="9"/>
  <c r="K127" i="9"/>
  <c r="L128" i="9"/>
  <c r="J128" i="9"/>
  <c r="K128" i="9"/>
  <c r="L129" i="9"/>
  <c r="J129" i="9"/>
  <c r="K129" i="9"/>
  <c r="L130" i="9"/>
  <c r="J130" i="9"/>
  <c r="K130" i="9"/>
  <c r="L131" i="9"/>
  <c r="J131" i="9"/>
  <c r="K131" i="9"/>
  <c r="L132" i="9"/>
  <c r="J132" i="9"/>
  <c r="K132" i="9"/>
  <c r="L133" i="9"/>
  <c r="J133" i="9"/>
  <c r="K133" i="9"/>
  <c r="K114" i="9"/>
  <c r="L114" i="9"/>
  <c r="J114" i="9"/>
  <c r="K115" i="9"/>
  <c r="L115" i="9"/>
  <c r="J115" i="9"/>
  <c r="J116" i="9"/>
  <c r="L116" i="9"/>
  <c r="L117" i="9"/>
  <c r="K117" i="9"/>
  <c r="J117" i="9"/>
  <c r="L118" i="9"/>
  <c r="J118" i="9"/>
  <c r="K119" i="9"/>
  <c r="L119" i="9"/>
  <c r="J119" i="9"/>
  <c r="K120" i="9"/>
  <c r="J120" i="9"/>
  <c r="L120" i="9"/>
  <c r="K121" i="9"/>
  <c r="L121" i="9"/>
  <c r="J121" i="9"/>
  <c r="L122" i="9"/>
  <c r="J122" i="9"/>
  <c r="J103" i="9"/>
  <c r="K103" i="9"/>
  <c r="L103" i="9"/>
  <c r="K104" i="9"/>
  <c r="L104" i="9"/>
  <c r="J104" i="9"/>
  <c r="J105" i="9"/>
  <c r="L105" i="9"/>
  <c r="K105" i="9"/>
  <c r="K111" i="9"/>
  <c r="L111" i="9"/>
  <c r="J111" i="9"/>
  <c r="K107" i="9"/>
  <c r="L107" i="9"/>
  <c r="J107" i="9"/>
  <c r="J109" i="9"/>
  <c r="K109" i="9"/>
  <c r="L109" i="9"/>
  <c r="L106" i="9"/>
  <c r="K106" i="9"/>
  <c r="J106" i="9"/>
  <c r="K108" i="9"/>
  <c r="L108" i="9"/>
  <c r="J108" i="9"/>
  <c r="L110" i="9"/>
  <c r="K110" i="9"/>
  <c r="J110" i="9"/>
  <c r="L100" i="9"/>
  <c r="J100" i="9"/>
  <c r="K100" i="9"/>
  <c r="L99" i="9"/>
  <c r="J99" i="9"/>
  <c r="K99" i="9"/>
  <c r="K93" i="9"/>
  <c r="J93" i="9"/>
  <c r="L93" i="9"/>
  <c r="J95" i="9"/>
  <c r="L95" i="9"/>
  <c r="K95" i="9"/>
  <c r="K97" i="9"/>
  <c r="J97" i="9"/>
  <c r="L97" i="9"/>
  <c r="L94" i="9"/>
  <c r="J94" i="9"/>
  <c r="K94" i="9"/>
  <c r="J96" i="9"/>
  <c r="K96" i="9"/>
  <c r="L96" i="9"/>
  <c r="J98" i="9"/>
  <c r="L98" i="9"/>
  <c r="K98" i="9"/>
  <c r="K92" i="9"/>
  <c r="L92" i="9"/>
  <c r="J92" i="9"/>
  <c r="L88" i="9"/>
  <c r="L86" i="9"/>
  <c r="J86" i="9"/>
  <c r="K86" i="9"/>
  <c r="J85" i="9"/>
  <c r="K85" i="9"/>
  <c r="L85" i="9"/>
  <c r="J88" i="9"/>
  <c r="K88" i="9"/>
  <c r="L89" i="9"/>
  <c r="J89" i="9"/>
  <c r="K89" i="9"/>
  <c r="K87" i="9"/>
  <c r="L87" i="9"/>
  <c r="J87" i="9"/>
  <c r="L82" i="9"/>
  <c r="J82" i="9"/>
  <c r="K82" i="9"/>
  <c r="J83" i="9"/>
  <c r="L83" i="9"/>
  <c r="K83" i="9"/>
  <c r="J81" i="9"/>
  <c r="L81" i="9"/>
  <c r="K81" i="9"/>
  <c r="K84" i="9"/>
  <c r="J84" i="9"/>
  <c r="L84" i="9"/>
  <c r="D10" i="12" l="1"/>
  <c r="D10" i="11"/>
  <c r="D9" i="12"/>
  <c r="D9" i="11"/>
  <c r="D8" i="12"/>
  <c r="D8" i="11"/>
  <c r="D7" i="12"/>
  <c r="D7" i="11"/>
  <c r="D11" i="12"/>
  <c r="D11" i="11"/>
  <c r="D5" i="12"/>
  <c r="D4" i="11"/>
  <c r="D6" i="12"/>
  <c r="D6" i="11"/>
  <c r="D5" i="11"/>
  <c r="D4" i="12"/>
  <c r="D3" i="11"/>
  <c r="D3" i="12"/>
  <c r="D2" i="11"/>
  <c r="E3" i="12"/>
  <c r="E2" i="11"/>
  <c r="E11" i="12"/>
  <c r="E11" i="11"/>
  <c r="E10" i="12"/>
  <c r="E10" i="11"/>
  <c r="E9" i="12"/>
  <c r="E9" i="11"/>
  <c r="E8" i="12"/>
  <c r="E8" i="11"/>
  <c r="E7" i="12"/>
  <c r="E7" i="11"/>
  <c r="E6" i="12"/>
  <c r="E6" i="11"/>
  <c r="E5" i="11"/>
  <c r="E5" i="12"/>
  <c r="E4" i="11"/>
  <c r="E4" i="12"/>
  <c r="E3" i="11"/>
  <c r="K70" i="9"/>
  <c r="K77" i="9"/>
  <c r="L77" i="9"/>
  <c r="J77" i="9"/>
  <c r="K76" i="9"/>
  <c r="L76" i="9"/>
  <c r="J76" i="9"/>
  <c r="K78" i="9"/>
  <c r="L78" i="9"/>
  <c r="J78" i="9"/>
  <c r="K75" i="9"/>
  <c r="L75" i="9"/>
  <c r="J75" i="9"/>
  <c r="L71" i="9"/>
  <c r="K71" i="9"/>
  <c r="J71" i="9"/>
  <c r="L70" i="9"/>
  <c r="J70" i="9"/>
  <c r="L74" i="9"/>
  <c r="K74" i="9"/>
  <c r="J74" i="9"/>
  <c r="L73" i="9"/>
  <c r="K73" i="9"/>
  <c r="J73" i="9"/>
  <c r="L72" i="9"/>
  <c r="K72" i="9"/>
  <c r="J72" i="9"/>
</calcChain>
</file>

<file path=xl/sharedStrings.xml><?xml version="1.0" encoding="utf-8"?>
<sst xmlns="http://schemas.openxmlformats.org/spreadsheetml/2006/main" count="1807" uniqueCount="178">
  <si>
    <t>ICE Delay Odzg</t>
  </si>
  <si>
    <t>Originele vertrektijd Odzg = 09:56:06</t>
  </si>
  <si>
    <t>140/240</t>
  </si>
  <si>
    <t>Amersfoort</t>
  </si>
  <si>
    <t>A140-late</t>
  </si>
  <si>
    <t>Vertraging in Amersfoort</t>
  </si>
  <si>
    <t>Utrecht</t>
  </si>
  <si>
    <t>C1700-17</t>
  </si>
  <si>
    <t>Vertraging van nationale treinen (eerste hub buiten corridor)</t>
  </si>
  <si>
    <t>Apeldoorn</t>
  </si>
  <si>
    <t>A7000-15</t>
  </si>
  <si>
    <t>Goor</t>
  </si>
  <si>
    <t>D31200-18</t>
  </si>
  <si>
    <t>Nijverdal</t>
  </si>
  <si>
    <t>A7900-17</t>
  </si>
  <si>
    <t>A31300-19</t>
  </si>
  <si>
    <t>Zwolle</t>
  </si>
  <si>
    <t>A3600-5</t>
  </si>
  <si>
    <t>Hengelo</t>
  </si>
  <si>
    <t>B36100-18</t>
  </si>
  <si>
    <t>Wordt niet meegenomen in  punctualiteit</t>
  </si>
  <si>
    <t>-</t>
  </si>
  <si>
    <t>Komt niet vanaf Odz dus geen aankomstvertr.</t>
  </si>
  <si>
    <t>Vetragingen bij transfer hubs</t>
  </si>
  <si>
    <t>Zutphen</t>
  </si>
  <si>
    <t>Total delay all trains in the scope at the first hub outside the corridor</t>
  </si>
  <si>
    <t>Totale vertraging (ICE en nationale treinen)</t>
  </si>
  <si>
    <t>Is de ICE op tijd?</t>
  </si>
  <si>
    <t>Zijn de nationale treinen op tijd?</t>
  </si>
  <si>
    <t>Met hoe veel minuten vetraging haalt de ICE zn slot in Amersfoort?</t>
  </si>
  <si>
    <t>Hoe veel minuten te laat mag de 31200 en 7900 komen om hun domestic transfer te halen?</t>
  </si>
  <si>
    <t>Punctuality</t>
  </si>
  <si>
    <t>Punctualiteit nationale treinen</t>
  </si>
  <si>
    <t>Diff ICE delay BB and Amf</t>
  </si>
  <si>
    <t>+ -&gt; Extra delay</t>
  </si>
  <si>
    <t>- -&gt; less delay</t>
  </si>
  <si>
    <t>Als/Hoeveel de ICE te vroeg is in Amf</t>
  </si>
  <si>
    <t>-00:01:54</t>
  </si>
  <si>
    <t xml:space="preserve">Regional transfer </t>
  </si>
  <si>
    <t>Gemiste transfers</t>
  </si>
  <si>
    <t>Wat is er gedaan in OpenTrack om dit te bereiken?</t>
  </si>
  <si>
    <t>Hgl3b-Ddn2</t>
  </si>
  <si>
    <t>Oldenzaal</t>
  </si>
  <si>
    <t>Nieuwe itinerary gemaakt Zp-Hgl</t>
  </si>
  <si>
    <t>Ddn2-Go1</t>
  </si>
  <si>
    <t>C31200-13</t>
  </si>
  <si>
    <t>Nieuwe itinerary gemaakt Hgl-Zp</t>
  </si>
  <si>
    <t>Go1-Lc2</t>
  </si>
  <si>
    <t>D31200-18: Itinerary veranderd</t>
  </si>
  <si>
    <t>Lc2-Lr702</t>
  </si>
  <si>
    <t>A31200-15</t>
  </si>
  <si>
    <t>A31200-15: Itinerary veranderd</t>
  </si>
  <si>
    <t>Lr702-Zp2b (/P:1)</t>
  </si>
  <si>
    <t>B31200-20</t>
  </si>
  <si>
    <t>D31200-18: Connectie met C31200-13 in Oldenzaal is verbroken</t>
  </si>
  <si>
    <t>D31200-18: Connectie met A31200-15 in Hengelo is toegevoegd</t>
  </si>
  <si>
    <t>C31200-13: Connectie met B31200-20 ipv D31200-18 zodat deze een half uur later gaat</t>
  </si>
  <si>
    <t>B31200-20: Connectie met C31200-13 ipv A31200-15</t>
  </si>
  <si>
    <t>A31200-15: Connectie met D31200-18 in Hengelo toegevoegd</t>
  </si>
  <si>
    <t>C31200-13: Aankomst Oldenzaal op perron 1b ipv 1</t>
  </si>
  <si>
    <t>Originele aankomst Amf = 10:24:00</t>
  </si>
  <si>
    <t>Extra delay</t>
  </si>
  <si>
    <t>Less delay</t>
  </si>
  <si>
    <t xml:space="preserve"> </t>
  </si>
  <si>
    <t>ICE arriveert nooit in Amersfoort</t>
  </si>
  <si>
    <t>N/A</t>
  </si>
  <si>
    <t>3 minute delay</t>
  </si>
  <si>
    <t>KPI5</t>
  </si>
  <si>
    <t>KPI3</t>
  </si>
  <si>
    <t>KPI2</t>
  </si>
  <si>
    <t>KPI4</t>
  </si>
  <si>
    <t>4 minute delay</t>
  </si>
  <si>
    <t>Total delay</t>
  </si>
  <si>
    <t>Total punctuality</t>
  </si>
  <si>
    <t>Diff ICE delay</t>
  </si>
  <si>
    <t>Transfer punct</t>
  </si>
  <si>
    <t>5 minute delay</t>
  </si>
  <si>
    <t>M1</t>
  </si>
  <si>
    <t>Cancel stop Hgl-Odz-Zp</t>
  </si>
  <si>
    <t>M3</t>
  </si>
  <si>
    <t>ICE waits</t>
  </si>
  <si>
    <t>M2</t>
  </si>
  <si>
    <t>Stop waits</t>
  </si>
  <si>
    <t>M4/9</t>
  </si>
  <si>
    <t>Remove stop Hengelo</t>
  </si>
  <si>
    <t>M11</t>
  </si>
  <si>
    <t>Extra platform Hengelo</t>
  </si>
  <si>
    <t>M7</t>
  </si>
  <si>
    <t>Short-turn Hengelo</t>
  </si>
  <si>
    <t>M6</t>
  </si>
  <si>
    <t>Overtake Rijssen</t>
  </si>
  <si>
    <t>M8</t>
  </si>
  <si>
    <t>Alternative ICE path</t>
  </si>
  <si>
    <t>M5/10</t>
  </si>
  <si>
    <t>Stop Almelo</t>
  </si>
  <si>
    <t>6 minute delay</t>
  </si>
  <si>
    <t>7 minute delay</t>
  </si>
  <si>
    <t>8 minute delay</t>
  </si>
  <si>
    <t>9 minute delay</t>
  </si>
  <si>
    <t>10 minute delay</t>
  </si>
  <si>
    <t>11 minute delay</t>
  </si>
  <si>
    <t>12 minute delay</t>
  </si>
  <si>
    <t>13 minute delay</t>
  </si>
  <si>
    <t>14 minute delay</t>
  </si>
  <si>
    <t>15 minute delay</t>
  </si>
  <si>
    <t>20 minute delay</t>
  </si>
  <si>
    <t>25 minute delay</t>
  </si>
  <si>
    <t>Total</t>
  </si>
  <si>
    <t>Aantal cancelled stops ICE</t>
  </si>
  <si>
    <t>Aantal cancelled stops Stop trains</t>
  </si>
  <si>
    <t>Met # min delay haalt ICE zn pad</t>
  </si>
  <si>
    <t>KPI1</t>
  </si>
  <si>
    <t>KPI6</t>
  </si>
  <si>
    <t>KPI7</t>
  </si>
  <si>
    <t>KPI8</t>
  </si>
  <si>
    <t>BASE</t>
  </si>
  <si>
    <t xml:space="preserve">Min </t>
  </si>
  <si>
    <t>Max</t>
  </si>
  <si>
    <t xml:space="preserve">Overall </t>
  </si>
  <si>
    <t>Gemiddelde</t>
  </si>
  <si>
    <t>Gemiddelde ICE Prioritize</t>
  </si>
  <si>
    <t>Prioritize domestic</t>
  </si>
  <si>
    <t>M0: Base</t>
  </si>
  <si>
    <t>M1: Cancel 31200</t>
  </si>
  <si>
    <t>M3: Priority 31200</t>
  </si>
  <si>
    <t>M2: Priority ICE</t>
  </si>
  <si>
    <t>M4/9: Skip Hengelo</t>
  </si>
  <si>
    <t>M11: Platform Hengelo</t>
  </si>
  <si>
    <t>M7: Short-turn Hengelo</t>
  </si>
  <si>
    <t>M6: Overtake Rijssen</t>
  </si>
  <si>
    <t>M8: Alternative path</t>
  </si>
  <si>
    <t>M5/10: Stop Almelo</t>
  </si>
  <si>
    <t>Score</t>
  </si>
  <si>
    <t>3 min delay</t>
  </si>
  <si>
    <t>4 min delay</t>
  </si>
  <si>
    <t>5 min delay</t>
  </si>
  <si>
    <t>6 min delay</t>
  </si>
  <si>
    <t>7 min delay</t>
  </si>
  <si>
    <t>8 min delay</t>
  </si>
  <si>
    <t>9 min delay</t>
  </si>
  <si>
    <t>10 min delay</t>
  </si>
  <si>
    <t>11 min delay</t>
  </si>
  <si>
    <t>12 min delay</t>
  </si>
  <si>
    <t>13 min delay</t>
  </si>
  <si>
    <t>14 min delay</t>
  </si>
  <si>
    <t>15 min delay</t>
  </si>
  <si>
    <t>20 min delay</t>
  </si>
  <si>
    <t>25 min delay</t>
  </si>
  <si>
    <t>Delay</t>
  </si>
  <si>
    <t>Overall</t>
  </si>
  <si>
    <t>M4</t>
  </si>
  <si>
    <t>M10</t>
  </si>
  <si>
    <t>M5</t>
  </si>
  <si>
    <t>M9</t>
  </si>
  <si>
    <t>3 minute</t>
  </si>
  <si>
    <t>4 minute</t>
  </si>
  <si>
    <t xml:space="preserve">4 minute </t>
  </si>
  <si>
    <t>5 minute</t>
  </si>
  <si>
    <t>6 minute</t>
  </si>
  <si>
    <t>7 minute</t>
  </si>
  <si>
    <t>8 minute</t>
  </si>
  <si>
    <t>9 minute</t>
  </si>
  <si>
    <t>10 minute</t>
  </si>
  <si>
    <t>11 minute</t>
  </si>
  <si>
    <t>12 minute</t>
  </si>
  <si>
    <t>13 minute</t>
  </si>
  <si>
    <t>14 minute</t>
  </si>
  <si>
    <t>15 minute</t>
  </si>
  <si>
    <t>20 minute</t>
  </si>
  <si>
    <t>25 minute</t>
  </si>
  <si>
    <t>KPI1: Capacity to maintain path</t>
  </si>
  <si>
    <t>KPI2: ICE delay recovery</t>
  </si>
  <si>
    <t>KPI3: Domestic punctuality</t>
  </si>
  <si>
    <t>KPI4: Transfer reliability</t>
  </si>
  <si>
    <t>KPI 5: Domestic delay</t>
  </si>
  <si>
    <t>KPI 6: Cancelled ICE stops</t>
  </si>
  <si>
    <t>KPI 7: Cancelled domestic stops</t>
  </si>
  <si>
    <t>KPI 8: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</si>
</sst>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" xfId="0" applyBorder="1" applyAlignment="1">
      <alignment horizontal="right"/>
    </xf>
    <xf numFmtId="164" fontId="0" fillId="0" borderId="1" xfId="0" applyNumberFormat="1" applyBorder="1"/>
    <xf numFmtId="0" fontId="0" fillId="0" borderId="2" xfId="0" applyBorder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1" fillId="0" borderId="1" xfId="0" applyFont="1" applyBorder="1"/>
    <xf numFmtId="164" fontId="1" fillId="0" borderId="1" xfId="0" applyNumberFormat="1" applyFont="1" applyBorder="1"/>
    <xf numFmtId="21" fontId="0" fillId="0" borderId="0" xfId="0" applyNumberFormat="1"/>
    <xf numFmtId="10" fontId="0" fillId="0" borderId="0" xfId="0" applyNumberFormat="1"/>
    <xf numFmtId="0" fontId="2" fillId="0" borderId="0" xfId="0" applyFont="1"/>
    <xf numFmtId="0" fontId="0" fillId="0" borderId="4" xfId="0" applyBorder="1"/>
    <xf numFmtId="164" fontId="1" fillId="0" borderId="0" xfId="0" applyNumberFormat="1" applyFont="1"/>
    <xf numFmtId="21" fontId="0" fillId="0" borderId="0" xfId="0" quotePrefix="1" applyNumberFormat="1"/>
    <xf numFmtId="0" fontId="1" fillId="0" borderId="4" xfId="0" applyFont="1" applyBorder="1"/>
    <xf numFmtId="0" fontId="0" fillId="0" borderId="5" xfId="0" applyBorder="1"/>
    <xf numFmtId="21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164" fontId="0" fillId="0" borderId="4" xfId="0" applyNumberFormat="1" applyBorder="1"/>
    <xf numFmtId="20" fontId="0" fillId="0" borderId="0" xfId="0" applyNumberFormat="1"/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6" xfId="0" applyNumberFormat="1" applyBorder="1" applyAlignment="1">
      <alignment horizontal="right"/>
    </xf>
    <xf numFmtId="46" fontId="0" fillId="0" borderId="0" xfId="0" applyNumberFormat="1"/>
    <xf numFmtId="164" fontId="0" fillId="0" borderId="1" xfId="0" applyNumberFormat="1" applyBorder="1" applyAlignment="1">
      <alignment horizontal="right"/>
    </xf>
    <xf numFmtId="164" fontId="0" fillId="2" borderId="0" xfId="0" applyNumberFormat="1" applyFill="1"/>
    <xf numFmtId="0" fontId="0" fillId="0" borderId="4" xfId="0" applyBorder="1" applyAlignment="1">
      <alignment horizontal="left"/>
    </xf>
    <xf numFmtId="2" fontId="0" fillId="0" borderId="0" xfId="0" applyNumberFormat="1"/>
    <xf numFmtId="165" fontId="0" fillId="0" borderId="0" xfId="0" applyNumberFormat="1"/>
    <xf numFmtId="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(Summary!$J$81,Summary!$J$92,Summary!$J$103,Summary!$J$114,Summary!$J$125,Summary!$J$136,Summary!$J$147,Summary!$J$158,Summary!$J$169,Summary!$J$180,Summary!$J$191,Summary!$J$202,Summary!$J$213,Summary!$J$224,Summary!$J$235)</c:f>
              <c:numCache>
                <c:formatCode>0.00</c:formatCode>
                <c:ptCount val="15"/>
                <c:pt idx="0">
                  <c:v>4.2974786324786329</c:v>
                </c:pt>
                <c:pt idx="1">
                  <c:v>4.2974786324786329</c:v>
                </c:pt>
                <c:pt idx="2">
                  <c:v>4.1116452991452999</c:v>
                </c:pt>
                <c:pt idx="3">
                  <c:v>4.0622507122507123</c:v>
                </c:pt>
                <c:pt idx="4">
                  <c:v>3.8973504273504278</c:v>
                </c:pt>
                <c:pt idx="5">
                  <c:v>4.0000910931174083</c:v>
                </c:pt>
                <c:pt idx="6">
                  <c:v>3.975918803418804</c:v>
                </c:pt>
                <c:pt idx="7">
                  <c:v>4.0730662393162396</c:v>
                </c:pt>
                <c:pt idx="8">
                  <c:v>4.0773243693975409</c:v>
                </c:pt>
                <c:pt idx="9">
                  <c:v>4.1811019536019538</c:v>
                </c:pt>
                <c:pt idx="10">
                  <c:v>4.0863575829854906</c:v>
                </c:pt>
                <c:pt idx="11">
                  <c:v>4.081715229215229</c:v>
                </c:pt>
                <c:pt idx="12">
                  <c:v>4.0769088319088329</c:v>
                </c:pt>
                <c:pt idx="13">
                  <c:v>4.2359829059829064</c:v>
                </c:pt>
                <c:pt idx="14">
                  <c:v>4.2880662393162394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AB-4979-84EE-30B7795F8478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(Summary!$J$82,Summary!$J$93,Summary!$J$104,Summary!$J$115,Summary!$J$126,Summary!$J$137,Summary!$J$148,Summary!$J$159,Summary!$J$170,Summary!$J$181,Summary!$J$192,Summary!$J$203,Summary!$J$214,Summary!$J$225,Summary!$J$236)</c:f>
              <c:numCache>
                <c:formatCode>0.00</c:formatCode>
                <c:ptCount val="15"/>
                <c:pt idx="0">
                  <c:v>4.243034188034188</c:v>
                </c:pt>
                <c:pt idx="1">
                  <c:v>4.0318803418803419</c:v>
                </c:pt>
                <c:pt idx="2">
                  <c:v>3.9623504273504273</c:v>
                </c:pt>
                <c:pt idx="3">
                  <c:v>4.2445868945868952</c:v>
                </c:pt>
                <c:pt idx="4">
                  <c:v>4.249829637329638</c:v>
                </c:pt>
                <c:pt idx="5">
                  <c:v>4.2547964462438141</c:v>
                </c:pt>
                <c:pt idx="6">
                  <c:v>4.2881196581196583</c:v>
                </c:pt>
                <c:pt idx="7">
                  <c:v>4.2642628205128208</c:v>
                </c:pt>
                <c:pt idx="8">
                  <c:v>4.2682431728163444</c:v>
                </c:pt>
                <c:pt idx="9">
                  <c:v>4.1792429792429786</c:v>
                </c:pt>
                <c:pt idx="10">
                  <c:v>4.174776386404293</c:v>
                </c:pt>
                <c:pt idx="11">
                  <c:v>4.1701340326340324</c:v>
                </c:pt>
                <c:pt idx="12">
                  <c:v>4.2423646723646726</c:v>
                </c:pt>
                <c:pt idx="13">
                  <c:v>4.3366239316239312</c:v>
                </c:pt>
                <c:pt idx="14">
                  <c:v>4.3887072649572652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AB-4979-84EE-30B7795F8478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(Summary!$J$83,Summary!$J$94,Summary!$J$105,Summary!$J$116,Summary!$J$127,Summary!$J$138,Summary!$J$149,Summary!$J$160,Summary!$J$171,Summary!$J$182,Summary!$J$193,Summary!$J$204,Summary!$J$215,Summary!$J$226,Summary!$J$237)</c:f>
              <c:numCache>
                <c:formatCode>0.00</c:formatCode>
                <c:ptCount val="15"/>
                <c:pt idx="0">
                  <c:v>4.5492307692307694</c:v>
                </c:pt>
                <c:pt idx="1">
                  <c:v>4.4741452991452988</c:v>
                </c:pt>
                <c:pt idx="2">
                  <c:v>4.1618437118437122</c:v>
                </c:pt>
                <c:pt idx="3">
                  <c:v>4.1219729344729341</c:v>
                </c:pt>
                <c:pt idx="4">
                  <c:v>3.8553632478632478</c:v>
                </c:pt>
                <c:pt idx="5">
                  <c:v>4.0331039136302289</c:v>
                </c:pt>
                <c:pt idx="6">
                  <c:v>3.9621367521367521</c:v>
                </c:pt>
                <c:pt idx="7">
                  <c:v>3.9780876068376068</c:v>
                </c:pt>
                <c:pt idx="8">
                  <c:v>3.9320252240983948</c:v>
                </c:pt>
                <c:pt idx="9">
                  <c:v>3.8350122100122102</c:v>
                </c:pt>
                <c:pt idx="10">
                  <c:v>3.585716557344464</c:v>
                </c:pt>
                <c:pt idx="11">
                  <c:v>3.8714588189588186</c:v>
                </c:pt>
                <c:pt idx="12">
                  <c:v>4.0205413105413115</c:v>
                </c:pt>
                <c:pt idx="13">
                  <c:v>4.0257264957264951</c:v>
                </c:pt>
                <c:pt idx="14">
                  <c:v>4.077809829059829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AB-4979-84EE-30B7795F8478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(Summary!$J$84,Summary!$J$95,Summary!$J$106,Summary!$J$117,Summary!$J$128,Summary!$J$139,Summary!$J$150,Summary!$J$161,Summary!$J$172,Summary!$J$183,Summary!$J$194,Summary!$J$205,Summary!$J$216,Summary!$J$227,Summary!$J$238)</c:f>
              <c:numCache>
                <c:formatCode>0.00</c:formatCode>
                <c:ptCount val="15"/>
                <c:pt idx="0">
                  <c:v>4.6504273504273508</c:v>
                </c:pt>
                <c:pt idx="1">
                  <c:v>4.6017307692307696</c:v>
                </c:pt>
                <c:pt idx="2">
                  <c:v>4.3822863247863246</c:v>
                </c:pt>
                <c:pt idx="3">
                  <c:v>4.3105341880341879</c:v>
                </c:pt>
                <c:pt idx="4">
                  <c:v>4.1896055671055672</c:v>
                </c:pt>
                <c:pt idx="5">
                  <c:v>4.1867195231668912</c:v>
                </c:pt>
                <c:pt idx="6">
                  <c:v>4.0645085470085469</c:v>
                </c:pt>
                <c:pt idx="7">
                  <c:v>4.2681517094017094</c:v>
                </c:pt>
                <c:pt idx="8">
                  <c:v>4.264076506149677</c:v>
                </c:pt>
                <c:pt idx="9">
                  <c:v>4.2311874236874232</c:v>
                </c:pt>
                <c:pt idx="10">
                  <c:v>4.2267208308487376</c:v>
                </c:pt>
                <c:pt idx="11">
                  <c:v>4.3784673659673663</c:v>
                </c:pt>
                <c:pt idx="12">
                  <c:v>4.2914387464387467</c:v>
                </c:pt>
                <c:pt idx="13">
                  <c:v>4.3592628205128214</c:v>
                </c:pt>
                <c:pt idx="14">
                  <c:v>4.4581517094017098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AB-4979-84EE-30B7795F8478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(Summary!$J$85,Summary!$J$96,Summary!$J$107,Summary!$J$118,Summary!$J$129,Summary!$J$140,Summary!$J$151,Summary!$J$162,Summary!$J$173,Summary!$J$184,Summary!$J$195,Summary!$J$206,Summary!$J$217,Summary!$J$228,Summary!$J$239)</c:f>
              <c:numCache>
                <c:formatCode>0.00</c:formatCode>
                <c:ptCount val="15"/>
                <c:pt idx="0">
                  <c:v>4.0506196581196576</c:v>
                </c:pt>
                <c:pt idx="1">
                  <c:v>3.9744230769230771</c:v>
                </c:pt>
                <c:pt idx="2">
                  <c:v>3.6713675213675212</c:v>
                </c:pt>
                <c:pt idx="3">
                  <c:v>3.6219729344729341</c:v>
                </c:pt>
                <c:pt idx="4">
                  <c:v>3.7042065142065144</c:v>
                </c:pt>
                <c:pt idx="5">
                  <c:v>3.7034221772379667</c:v>
                </c:pt>
                <c:pt idx="6">
                  <c:v>3.6862820512820513</c:v>
                </c:pt>
                <c:pt idx="7">
                  <c:v>3.7925961538461541</c:v>
                </c:pt>
                <c:pt idx="8">
                  <c:v>3.7904653950385656</c:v>
                </c:pt>
                <c:pt idx="9">
                  <c:v>3.757020757020757</c:v>
                </c:pt>
                <c:pt idx="10">
                  <c:v>3.5077251043530113</c:v>
                </c:pt>
                <c:pt idx="11">
                  <c:v>3.7934673659673659</c:v>
                </c:pt>
                <c:pt idx="12">
                  <c:v>3.9425498575498583</c:v>
                </c:pt>
                <c:pt idx="13">
                  <c:v>3.9477350427350428</c:v>
                </c:pt>
                <c:pt idx="14">
                  <c:v>3.9998183760683759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4AB-4979-84EE-30B7795F8478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(Summary!$J$86,Summary!$J$97,Summary!$J$108,Summary!$J$119,Summary!$J$130,Summary!$J$141,Summary!$J$152,Summary!$J$163,Summary!$J$174,Summary!$J$185,Summary!$J$196,Summary!$J$207,Summary!$J$218,Summary!$J$229,Summary!$J$240)</c:f>
              <c:numCache>
                <c:formatCode>0.00</c:formatCode>
                <c:ptCount val="15"/>
                <c:pt idx="0">
                  <c:v>3.3609829059829064</c:v>
                </c:pt>
                <c:pt idx="1">
                  <c:v>3.3468162393162397</c:v>
                </c:pt>
                <c:pt idx="2">
                  <c:v>3.2537606837606838</c:v>
                </c:pt>
                <c:pt idx="3">
                  <c:v>3.2348717948717951</c:v>
                </c:pt>
                <c:pt idx="4">
                  <c:v>3.2144017094017094</c:v>
                </c:pt>
                <c:pt idx="5">
                  <c:v>3.2144017094017094</c:v>
                </c:pt>
                <c:pt idx="6">
                  <c:v>3.2144017094017094</c:v>
                </c:pt>
                <c:pt idx="7">
                  <c:v>3.3257905982905984</c:v>
                </c:pt>
                <c:pt idx="8">
                  <c:v>3.2316239316239317</c:v>
                </c:pt>
                <c:pt idx="9">
                  <c:v>3.2144017094017094</c:v>
                </c:pt>
                <c:pt idx="10">
                  <c:v>3.2144017094017094</c:v>
                </c:pt>
                <c:pt idx="11">
                  <c:v>3.2144017094017094</c:v>
                </c:pt>
                <c:pt idx="12">
                  <c:v>3.2144017094017094</c:v>
                </c:pt>
                <c:pt idx="13">
                  <c:v>3.3991239316239317</c:v>
                </c:pt>
                <c:pt idx="14">
                  <c:v>3.3991239316239317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4AB-4979-84EE-30B7795F8478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(Summary!$J$87,Summary!$J$98,Summary!$J$109,Summary!$J$120,Summary!$J$131,Summary!$J$142,Summary!$J$153,Summary!$J$164,Summary!$J$175,Summary!$J$186,Summary!$J$197,Summary!$J$208,Summary!$J$219,Summary!$J$230,Summary!$J$241)</c:f>
              <c:numCache>
                <c:formatCode>0.00</c:formatCode>
                <c:ptCount val="15"/>
                <c:pt idx="0">
                  <c:v>4.0905341880341872</c:v>
                </c:pt>
                <c:pt idx="1">
                  <c:v>4.1624786324786323</c:v>
                </c:pt>
                <c:pt idx="2">
                  <c:v>3.9627564102564103</c:v>
                </c:pt>
                <c:pt idx="3">
                  <c:v>3.9255840455840452</c:v>
                </c:pt>
                <c:pt idx="4">
                  <c:v>4.1002050127050129</c:v>
                </c:pt>
                <c:pt idx="5">
                  <c:v>4.1042116509221778</c:v>
                </c:pt>
                <c:pt idx="6">
                  <c:v>4.1080128205128208</c:v>
                </c:pt>
                <c:pt idx="7">
                  <c:v>4.1116239316239316</c:v>
                </c:pt>
                <c:pt idx="8">
                  <c:v>4.1150588909735255</c:v>
                </c:pt>
                <c:pt idx="9">
                  <c:v>4.1194413919413915</c:v>
                </c:pt>
                <c:pt idx="10">
                  <c:v>4.032560624130392</c:v>
                </c:pt>
                <c:pt idx="11">
                  <c:v>4.0288714063714064</c:v>
                </c:pt>
                <c:pt idx="12">
                  <c:v>4.0178276353276363</c:v>
                </c:pt>
                <c:pt idx="13">
                  <c:v>4.126928418803419</c:v>
                </c:pt>
                <c:pt idx="14">
                  <c:v>4.0616773504273507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4AB-4979-84EE-30B7795F8478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(Summary!$J$88,Summary!$J$99,Summary!$J$110,Summary!$J$121,Summary!$J$132,Summary!$J$143,Summary!$J$154,Summary!$J$165,Summary!$J$176,Summary!$J$187,Summary!$J$198,Summary!$J$209,Summary!$J$220,Summary!$J$231,Summary!$J$242)</c:f>
              <c:numCache>
                <c:formatCode>0.00</c:formatCode>
                <c:ptCount val="15"/>
                <c:pt idx="0">
                  <c:v>4.056952214452215</c:v>
                </c:pt>
                <c:pt idx="1">
                  <c:v>4.0682415786827555</c:v>
                </c:pt>
                <c:pt idx="2">
                  <c:v>4.0788858363858367</c:v>
                </c:pt>
                <c:pt idx="3">
                  <c:v>4.0889387464387461</c:v>
                </c:pt>
                <c:pt idx="4">
                  <c:v>4.0984482559482558</c:v>
                </c:pt>
                <c:pt idx="5">
                  <c:v>4.1074572649572652</c:v>
                </c:pt>
                <c:pt idx="6">
                  <c:v>4.1160042735042737</c:v>
                </c:pt>
                <c:pt idx="7">
                  <c:v>4.1241239316239309</c:v>
                </c:pt>
                <c:pt idx="8">
                  <c:v>4.1318475088597033</c:v>
                </c:pt>
                <c:pt idx="9">
                  <c:v>4.1392032967032968</c:v>
                </c:pt>
                <c:pt idx="10">
                  <c:v>4.1462169548797458</c:v>
                </c:pt>
                <c:pt idx="11">
                  <c:v>4.1529118104118101</c:v>
                </c:pt>
                <c:pt idx="12">
                  <c:v>4.1593091168091174</c:v>
                </c:pt>
                <c:pt idx="13">
                  <c:v>4.1977350427350428</c:v>
                </c:pt>
                <c:pt idx="14">
                  <c:v>4.2498183760683759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4AB-4979-84EE-30B7795F8478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(Summary!$J$89,Summary!$J$100,Summary!$J$111,Summary!$J$122,Summary!$J$133,Summary!$J$144,Summary!$J$155,Summary!$J$166,Summary!$J$177,Summary!$J$188,Summary!$J$199,Summary!$J$210,Summary!$J$221,Summary!$J$232,Summary!$J$243)</c:f>
              <c:numCache>
                <c:formatCode>0.00</c:formatCode>
                <c:ptCount val="15"/>
                <c:pt idx="0">
                  <c:v>4.4655341880341881</c:v>
                </c:pt>
                <c:pt idx="1">
                  <c:v>4.444978632478632</c:v>
                </c:pt>
                <c:pt idx="2">
                  <c:v>4.1302136752136747</c:v>
                </c:pt>
                <c:pt idx="3">
                  <c:v>4.0721652421652426</c:v>
                </c:pt>
                <c:pt idx="4">
                  <c:v>4.1816389466389463</c:v>
                </c:pt>
                <c:pt idx="5">
                  <c:v>4.1823110661268554</c:v>
                </c:pt>
                <c:pt idx="6">
                  <c:v>4.1345726495726494</c:v>
                </c:pt>
                <c:pt idx="7">
                  <c:v>4.2892628205128203</c:v>
                </c:pt>
                <c:pt idx="8">
                  <c:v>4.2851876172607879</c:v>
                </c:pt>
                <c:pt idx="9">
                  <c:v>4.252298534798534</c:v>
                </c:pt>
                <c:pt idx="10">
                  <c:v>4.2478319419598485</c:v>
                </c:pt>
                <c:pt idx="11">
                  <c:v>4.2690229215229216</c:v>
                </c:pt>
                <c:pt idx="12">
                  <c:v>4.265327635327635</c:v>
                </c:pt>
                <c:pt idx="13">
                  <c:v>4.3829433760683756</c:v>
                </c:pt>
                <c:pt idx="14">
                  <c:v>4.4789850427350419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4AB-4979-84EE-30B7795F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 (ICE prio)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(Summary!$K$81,Summary!$K$92,Summary!$K$103,Summary!$K$114,Summary!$K$125,Summary!$K$136,Summary!$K$147,Summary!$K$158,Summary!$K$169,Summary!$K$180,Summary!$K$191,Summary!$K$202,Summary!$K$213,Summary!$K$224,Summary!$K$235)</c:f>
              <c:numCache>
                <c:formatCode>0.00</c:formatCode>
                <c:ptCount val="15"/>
                <c:pt idx="0">
                  <c:v>4.3072571872571874</c:v>
                </c:pt>
                <c:pt idx="1">
                  <c:v>4.3072571872571874</c:v>
                </c:pt>
                <c:pt idx="2">
                  <c:v>4.1721056721056717</c:v>
                </c:pt>
                <c:pt idx="3">
                  <c:v>4.1338254338254341</c:v>
                </c:pt>
                <c:pt idx="4">
                  <c:v>4.0041336441336446</c:v>
                </c:pt>
                <c:pt idx="5">
                  <c:v>4.0638621028094706</c:v>
                </c:pt>
                <c:pt idx="6">
                  <c:v>4.0432478632478634</c:v>
                </c:pt>
                <c:pt idx="7">
                  <c:v>4.0170784770784769</c:v>
                </c:pt>
                <c:pt idx="8">
                  <c:v>4.0232721208330968</c:v>
                </c:pt>
                <c:pt idx="9">
                  <c:v>4.1016960816960815</c:v>
                </c:pt>
                <c:pt idx="10">
                  <c:v>4.0356032597893057</c:v>
                </c:pt>
                <c:pt idx="11">
                  <c:v>4.0349113512749879</c:v>
                </c:pt>
                <c:pt idx="12">
                  <c:v>4.0339808339808352</c:v>
                </c:pt>
                <c:pt idx="13">
                  <c:v>4.0857653457653456</c:v>
                </c:pt>
                <c:pt idx="14">
                  <c:v>4.1615229215229217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14-4E36-909F-44473EB0B116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(Summary!$K$82,Summary!$K$93,Summary!$K$104,Summary!$K$115,Summary!$K$126,Summary!$K$137,Summary!$K$148,Summary!$K$159,Summary!$K$170,Summary!$K$181,Summary!$K$192,Summary!$K$203,Summary!$K$214,Summary!$K$225,Summary!$K$236)</c:f>
              <c:numCache>
                <c:formatCode>0.00</c:formatCode>
                <c:ptCount val="15"/>
                <c:pt idx="0">
                  <c:v>4.1868531468531467</c:v>
                </c:pt>
                <c:pt idx="1">
                  <c:v>4.0332867132867127</c:v>
                </c:pt>
                <c:pt idx="2">
                  <c:v>3.9754467754467755</c:v>
                </c:pt>
                <c:pt idx="3">
                  <c:v>4.0469049469049461</c:v>
                </c:pt>
                <c:pt idx="4">
                  <c:v>4.0545307545307541</c:v>
                </c:pt>
                <c:pt idx="5">
                  <c:v>4.061755203860467</c:v>
                </c:pt>
                <c:pt idx="6">
                  <c:v>4.0894172494172487</c:v>
                </c:pt>
                <c:pt idx="7">
                  <c:v>4.0753224553224552</c:v>
                </c:pt>
                <c:pt idx="8">
                  <c:v>4.0813140788750539</c:v>
                </c:pt>
                <c:pt idx="9">
                  <c:v>4.0195360195360195</c:v>
                </c:pt>
                <c:pt idx="10">
                  <c:v>4.0190997632858094</c:v>
                </c:pt>
                <c:pt idx="11">
                  <c:v>4.0184078547714908</c:v>
                </c:pt>
                <c:pt idx="12">
                  <c:v>4.0753897953897962</c:v>
                </c:pt>
                <c:pt idx="13">
                  <c:v>4.0781507381507387</c:v>
                </c:pt>
                <c:pt idx="14">
                  <c:v>4.1539083139083139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14-4E36-909F-44473EB0B116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(Summary!$K$83,Summary!$K$94,Summary!$K$105,Summary!$K$116,Summary!$K$127,Summary!$K$138,Summary!$K$149,Summary!$K$160,Summary!$K$171,Summary!$K$182,Summary!$K$193,Summary!$K$204,Summary!$K$215,Summary!$K$226,Summary!$K$237)</c:f>
              <c:numCache>
                <c:formatCode>0.00</c:formatCode>
                <c:ptCount val="15"/>
                <c:pt idx="0">
                  <c:v>4.4903496503496507</c:v>
                </c:pt>
                <c:pt idx="1">
                  <c:v>4.4357420357420363</c:v>
                </c:pt>
                <c:pt idx="2">
                  <c:v>4.2016872016872009</c:v>
                </c:pt>
                <c:pt idx="3">
                  <c:v>4.1772597772597768</c:v>
                </c:pt>
                <c:pt idx="4">
                  <c:v>3.9735975135975137</c:v>
                </c:pt>
                <c:pt idx="5">
                  <c:v>4.0878714268187943</c:v>
                </c:pt>
                <c:pt idx="6">
                  <c:v>4.033224553224553</c:v>
                </c:pt>
                <c:pt idx="7">
                  <c:v>3.9480031080031073</c:v>
                </c:pt>
                <c:pt idx="8">
                  <c:v>3.9176000151609909</c:v>
                </c:pt>
                <c:pt idx="9">
                  <c:v>3.8499944499944494</c:v>
                </c:pt>
                <c:pt idx="10">
                  <c:v>3.6715006956867415</c:v>
                </c:pt>
                <c:pt idx="11">
                  <c:v>3.8819975983612349</c:v>
                </c:pt>
                <c:pt idx="12">
                  <c:v>3.9929862729862737</c:v>
                </c:pt>
                <c:pt idx="13">
                  <c:v>3.9328515928515926</c:v>
                </c:pt>
                <c:pt idx="14">
                  <c:v>4.0086091686091683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14-4E36-909F-44473EB0B116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(Summary!$K$84,Summary!$K$95,Summary!$K$106,Summary!$K$117,Summary!$K$128,Summary!$K$139,Summary!$K$151,Summary!$K$161,Summary!$K$172,Summary!$K$183,Summary!$K$194,Summary!$K$205,Summary!$K$216,Summary!$K$227,Summary!$K$238)</c:f>
              <c:numCache>
                <c:formatCode>0.00</c:formatCode>
                <c:ptCount val="15"/>
                <c:pt idx="0">
                  <c:v>4.5336441336441338</c:v>
                </c:pt>
                <c:pt idx="1">
                  <c:v>4.4982284382284385</c:v>
                </c:pt>
                <c:pt idx="2">
                  <c:v>4.338632478632479</c:v>
                </c:pt>
                <c:pt idx="3">
                  <c:v>4.2864491064491066</c:v>
                </c:pt>
                <c:pt idx="4">
                  <c:v>4.1926042126042127</c:v>
                </c:pt>
                <c:pt idx="5">
                  <c:v>4.1900224921277553</c:v>
                </c:pt>
                <c:pt idx="6">
                  <c:v>3.832602952602953</c:v>
                </c:pt>
                <c:pt idx="7">
                  <c:v>4.1286557886557889</c:v>
                </c:pt>
                <c:pt idx="8">
                  <c:v>4.128788826349802</c:v>
                </c:pt>
                <c:pt idx="9">
                  <c:v>4.107818847818848</c:v>
                </c:pt>
                <c:pt idx="10">
                  <c:v>4.1073825915686379</c:v>
                </c:pt>
                <c:pt idx="11">
                  <c:v>4.2204280567916932</c:v>
                </c:pt>
                <c:pt idx="12">
                  <c:v>4.1596995596995603</c:v>
                </c:pt>
                <c:pt idx="13">
                  <c:v>4.2122921522921528</c:v>
                </c:pt>
                <c:pt idx="14">
                  <c:v>4.2549184149184152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14-4E36-909F-44473EB0B116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(Summary!$K$85,Summary!$K$96,Summary!$K$107,Summary!$K$118,Summary!$K$129,Summary!$K$140,Summary!$K$151,Summary!$K$162,Summary!$K$173,Summary!$K$184,Summary!$K$195,Summary!$K$206,Summary!$K$217,Summary!$K$228,Summary!$K$239)</c:f>
              <c:numCache>
                <c:formatCode>0.00</c:formatCode>
                <c:ptCount val="15"/>
                <c:pt idx="0">
                  <c:v>4.1277233877233881</c:v>
                </c:pt>
                <c:pt idx="1">
                  <c:v>4.0723076923076924</c:v>
                </c:pt>
                <c:pt idx="2">
                  <c:v>3.8519036519036516</c:v>
                </c:pt>
                <c:pt idx="3">
                  <c:v>3.8136234136234135</c:v>
                </c:pt>
                <c:pt idx="4">
                  <c:v>3.8469577269577271</c:v>
                </c:pt>
                <c:pt idx="5">
                  <c:v>3.8468269741953947</c:v>
                </c:pt>
                <c:pt idx="6">
                  <c:v>3.832602952602953</c:v>
                </c:pt>
                <c:pt idx="7">
                  <c:v>3.8131002331002333</c:v>
                </c:pt>
                <c:pt idx="8">
                  <c:v>3.8146474122083878</c:v>
                </c:pt>
                <c:pt idx="9">
                  <c:v>3.7932733932733935</c:v>
                </c:pt>
                <c:pt idx="10">
                  <c:v>3.6147796389656857</c:v>
                </c:pt>
                <c:pt idx="11">
                  <c:v>3.8252765416401782</c:v>
                </c:pt>
                <c:pt idx="12">
                  <c:v>3.936265216265217</c:v>
                </c:pt>
                <c:pt idx="13">
                  <c:v>3.8761305361305363</c:v>
                </c:pt>
                <c:pt idx="14">
                  <c:v>3.9518881118881115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14-4E36-909F-44473EB0B116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(Summary!$K$86,Summary!$K$97,Summary!$K$108,Summary!$K$119,Summary!$K$130,Summary!$K$141,Summary!$K$152,Summary!$K$163,Summary!$K$174,Summary!$K$185,Summary!$K$196,Summary!$K$207,Summary!$K$218,Summary!$K$229,Summary!$K$240)</c:f>
              <c:numCache>
                <c:formatCode>0.00</c:formatCode>
                <c:ptCount val="15"/>
                <c:pt idx="0">
                  <c:v>2.6867754467754468</c:v>
                </c:pt>
                <c:pt idx="1">
                  <c:v>2.6764724164724165</c:v>
                </c:pt>
                <c:pt idx="2">
                  <c:v>2.608795648795649</c:v>
                </c:pt>
                <c:pt idx="3">
                  <c:v>2.5950582750582751</c:v>
                </c:pt>
                <c:pt idx="4">
                  <c:v>2.5801709401709405</c:v>
                </c:pt>
                <c:pt idx="5">
                  <c:v>2.5801709401709405</c:v>
                </c:pt>
                <c:pt idx="6">
                  <c:v>2.5801709401709405</c:v>
                </c:pt>
                <c:pt idx="7">
                  <c:v>2.6611810411810413</c:v>
                </c:pt>
                <c:pt idx="8">
                  <c:v>2.5926961926961929</c:v>
                </c:pt>
                <c:pt idx="9">
                  <c:v>2.5801709401709405</c:v>
                </c:pt>
                <c:pt idx="10">
                  <c:v>2.5801709401709405</c:v>
                </c:pt>
                <c:pt idx="11">
                  <c:v>2.5801709401709405</c:v>
                </c:pt>
                <c:pt idx="12">
                  <c:v>2.5801709401709405</c:v>
                </c:pt>
                <c:pt idx="13">
                  <c:v>2.7145143745143745</c:v>
                </c:pt>
                <c:pt idx="14">
                  <c:v>2.7145143745143745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14-4E36-909F-44473EB0B116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(Summary!$K$87,Summary!$K$98,Summary!$K$109,Summary!$K$120,Summary!$K$131,Summary!$K$142,Summary!$K$153,Summary!$K$164,Summary!$K$175,Summary!$K$186,Summary!$K$197,Summary!$K$208,Summary!$K$219,Summary!$K$230,Summary!$K$241)</c:f>
              <c:numCache>
                <c:formatCode>0.00</c:formatCode>
                <c:ptCount val="15"/>
                <c:pt idx="0">
                  <c:v>4.0961460761460762</c:v>
                </c:pt>
                <c:pt idx="1">
                  <c:v>4.1484693084693083</c:v>
                </c:pt>
                <c:pt idx="2">
                  <c:v>4.0032167832167822</c:v>
                </c:pt>
                <c:pt idx="3">
                  <c:v>3.9738254338254335</c:v>
                </c:pt>
                <c:pt idx="4">
                  <c:v>3.9924504924504927</c:v>
                </c:pt>
                <c:pt idx="5">
                  <c:v>3.998278329857277</c:v>
                </c:pt>
                <c:pt idx="6">
                  <c:v>4.0038073038073039</c:v>
                </c:pt>
                <c:pt idx="7">
                  <c:v>4.0090598290598285</c:v>
                </c:pt>
                <c:pt idx="8">
                  <c:v>4.0140561335683289</c:v>
                </c:pt>
                <c:pt idx="9">
                  <c:v>4.0196225996225996</c:v>
                </c:pt>
                <c:pt idx="10">
                  <c:v>3.9587051191702356</c:v>
                </c:pt>
                <c:pt idx="11">
                  <c:v>3.9581874690965604</c:v>
                </c:pt>
                <c:pt idx="12">
                  <c:v>3.9522248122248129</c:v>
                </c:pt>
                <c:pt idx="13">
                  <c:v>3.9471095571095565</c:v>
                </c:pt>
                <c:pt idx="14">
                  <c:v>3.9291996891996899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14-4E36-909F-44473EB0B116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(Summary!$K$88,Summary!$K$99,Summary!$K$110,Summary!$K$121,Summary!$K$132,Summary!$K$143,Summary!$K$154,Summary!$K$165,Summary!$K$176,Summary!$K$187,Summary!$K$198,Summary!$K$209,Summary!$K$220,Summary!$K$231,Summary!$K$242)</c:f>
              <c:numCache>
                <c:formatCode>0.00</c:formatCode>
                <c:ptCount val="15"/>
                <c:pt idx="0">
                  <c:v>3.6713555131736952</c:v>
                </c:pt>
                <c:pt idx="1">
                  <c:v>3.6877764065999359</c:v>
                </c:pt>
                <c:pt idx="2">
                  <c:v>3.7032589632589632</c:v>
                </c:pt>
                <c:pt idx="3">
                  <c:v>3.717881377881378</c:v>
                </c:pt>
                <c:pt idx="4">
                  <c:v>3.7317133917133916</c:v>
                </c:pt>
                <c:pt idx="5">
                  <c:v>3.7448174048174043</c:v>
                </c:pt>
                <c:pt idx="6">
                  <c:v>3.7572494172494171</c:v>
                </c:pt>
                <c:pt idx="7">
                  <c:v>3.7690598290598287</c:v>
                </c:pt>
                <c:pt idx="8">
                  <c:v>3.7802941232209522</c:v>
                </c:pt>
                <c:pt idx="9">
                  <c:v>3.7909934509934504</c:v>
                </c:pt>
                <c:pt idx="10">
                  <c:v>3.8011951356137401</c:v>
                </c:pt>
                <c:pt idx="11">
                  <c:v>3.8109331072967434</c:v>
                </c:pt>
                <c:pt idx="12">
                  <c:v>3.8202382802382813</c:v>
                </c:pt>
                <c:pt idx="13">
                  <c:v>3.8761305361305363</c:v>
                </c:pt>
                <c:pt idx="14">
                  <c:v>3.9518881118881115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14-4E36-909F-44473EB0B116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(Summary!$K$89,Summary!$K$100,Summary!$K$111,Summary!$K$122,Summary!$K$133,Summary!$K$144,Summary!$K$155,Summary!$K$166,Summary!$K$177,Summary!$K$188,Summary!$K$199,Summary!$K$210,Summary!$K$221,Summary!$K$232,Summary!$K$243)</c:f>
              <c:numCache>
                <c:formatCode>0.00</c:formatCode>
                <c:ptCount val="15"/>
                <c:pt idx="0">
                  <c:v>4.4143278943278945</c:v>
                </c:pt>
                <c:pt idx="1">
                  <c:v>4.3993783993784001</c:v>
                </c:pt>
                <c:pt idx="2">
                  <c:v>4.1704584304584307</c:v>
                </c:pt>
                <c:pt idx="3">
                  <c:v>4.1228541828541827</c:v>
                </c:pt>
                <c:pt idx="4">
                  <c:v>4.1783745983745986</c:v>
                </c:pt>
                <c:pt idx="5">
                  <c:v>4.1799582873267083</c:v>
                </c:pt>
                <c:pt idx="6">
                  <c:v>4.1406837606837605</c:v>
                </c:pt>
                <c:pt idx="7">
                  <c:v>4.1591608391608395</c:v>
                </c:pt>
                <c:pt idx="8">
                  <c:v>4.1592938768548526</c:v>
                </c:pt>
                <c:pt idx="9">
                  <c:v>4.1383238983238986</c:v>
                </c:pt>
                <c:pt idx="10">
                  <c:v>4.1378876420736894</c:v>
                </c:pt>
                <c:pt idx="11">
                  <c:v>4.1559836123472484</c:v>
                </c:pt>
                <c:pt idx="12">
                  <c:v>4.155861175861177</c:v>
                </c:pt>
                <c:pt idx="13">
                  <c:v>4.2459285159285161</c:v>
                </c:pt>
                <c:pt idx="14">
                  <c:v>4.2852214452214445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14-4E36-909F-44473EB0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 (domestic prio)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(Summary!$L$81,Summary!$L$92,Summary!$L$103,Summary!$L$114,Summary!$L$125,Summary!$L$136,Summary!$L$147,Summary!$L$158,Summary!$L$169,Summary!$L$180,Summary!$L$191,Summary!$L$202,Summary!$L$213,Summary!$L$224,Summary!$L$235)</c:f>
              <c:numCache>
                <c:formatCode>0.00</c:formatCode>
                <c:ptCount val="15"/>
                <c:pt idx="0">
                  <c:v>4.2299715099715103</c:v>
                </c:pt>
                <c:pt idx="1">
                  <c:v>4.2299715099715103</c:v>
                </c:pt>
                <c:pt idx="2">
                  <c:v>3.9821937321937324</c:v>
                </c:pt>
                <c:pt idx="3">
                  <c:v>3.9184947768281102</c:v>
                </c:pt>
                <c:pt idx="4">
                  <c:v>3.7075783475783477</c:v>
                </c:pt>
                <c:pt idx="5">
                  <c:v>3.8583085919928024</c:v>
                </c:pt>
                <c:pt idx="6">
                  <c:v>3.8288603988603991</c:v>
                </c:pt>
                <c:pt idx="7">
                  <c:v>4.0471438746438748</c:v>
                </c:pt>
                <c:pt idx="8">
                  <c:v>4.0499826280314091</c:v>
                </c:pt>
                <c:pt idx="9">
                  <c:v>4.1856491656491661</c:v>
                </c:pt>
                <c:pt idx="10">
                  <c:v>4.0567455111641157</c:v>
                </c:pt>
                <c:pt idx="11">
                  <c:v>4.0480950530950528</c:v>
                </c:pt>
                <c:pt idx="12">
                  <c:v>4.0393352326685665</c:v>
                </c:pt>
                <c:pt idx="13">
                  <c:v>4.3100142450142451</c:v>
                </c:pt>
                <c:pt idx="14">
                  <c:v>4.3447364672364674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14-4E36-909F-44473EB0B116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(Summary!$L$82,Summary!$L$93,Summary!$L$104,Summary!$L$115,Summary!$L$126,Summary!$L$137,Summary!$L$148,Summary!$L$159,Summary!$L$170,Summary!$L$181,Summary!$L$192,Summary!$L$203,Summary!$L$214,Summary!$L$225,Summary!$L$236)</c:f>
              <c:numCache>
                <c:formatCode>0.00</c:formatCode>
                <c:ptCount val="15"/>
                <c:pt idx="0">
                  <c:v>4.2314529914529908</c:v>
                </c:pt>
                <c:pt idx="1">
                  <c:v>3.9499145299145297</c:v>
                </c:pt>
                <c:pt idx="2">
                  <c:v>3.8638746438746439</c:v>
                </c:pt>
                <c:pt idx="3">
                  <c:v>4.3628442545109216</c:v>
                </c:pt>
                <c:pt idx="4">
                  <c:v>4.3663394163394171</c:v>
                </c:pt>
                <c:pt idx="5">
                  <c:v>4.3696506222822018</c:v>
                </c:pt>
                <c:pt idx="6">
                  <c:v>4.4109401709401714</c:v>
                </c:pt>
                <c:pt idx="7">
                  <c:v>4.3761467236467242</c:v>
                </c:pt>
                <c:pt idx="8">
                  <c:v>4.3786151066638874</c:v>
                </c:pt>
                <c:pt idx="9">
                  <c:v>4.2572446072446075</c:v>
                </c:pt>
                <c:pt idx="10">
                  <c:v>4.2487113231299283</c:v>
                </c:pt>
                <c:pt idx="11">
                  <c:v>4.2400608650608644</c:v>
                </c:pt>
                <c:pt idx="12">
                  <c:v>4.3322886989553666</c:v>
                </c:pt>
                <c:pt idx="13">
                  <c:v>4.5182763532763532</c:v>
                </c:pt>
                <c:pt idx="14">
                  <c:v>4.5529985754985756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14-4E36-909F-44473EB0B116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(Summary!$L$83,Summary!$L$94,Summary!$L$105,Summary!$L$116,Summary!$L$127,Summary!$L$138,Summary!$L$149,Summary!$L$160,Summary!$L$171,Summary!$L$182,Summary!$L$193,Summary!$L$204,Summary!$L$215,Summary!$L$226,Summary!$L$237)</c:f>
              <c:numCache>
                <c:formatCode>0.00</c:formatCode>
                <c:ptCount val="15"/>
                <c:pt idx="0">
                  <c:v>4.5656410256410256</c:v>
                </c:pt>
                <c:pt idx="1">
                  <c:v>4.4655270655270654</c:v>
                </c:pt>
                <c:pt idx="2">
                  <c:v>4.0554741554741556</c:v>
                </c:pt>
                <c:pt idx="3">
                  <c:v>3.9981244064577397</c:v>
                </c:pt>
                <c:pt idx="4">
                  <c:v>3.6515954415954415</c:v>
                </c:pt>
                <c:pt idx="5">
                  <c:v>3.9023256860098958</c:v>
                </c:pt>
                <c:pt idx="6">
                  <c:v>3.8104843304843303</c:v>
                </c:pt>
                <c:pt idx="7">
                  <c:v>3.920505698005698</c:v>
                </c:pt>
                <c:pt idx="8">
                  <c:v>3.856250434299215</c:v>
                </c:pt>
                <c:pt idx="9">
                  <c:v>3.7241961741961744</c:v>
                </c:pt>
                <c:pt idx="10">
                  <c:v>3.3892241436427479</c:v>
                </c:pt>
                <c:pt idx="11">
                  <c:v>3.7677531727531726</c:v>
                </c:pt>
                <c:pt idx="12">
                  <c:v>3.9641785375118705</c:v>
                </c:pt>
                <c:pt idx="13">
                  <c:v>4.0296723646723649</c:v>
                </c:pt>
                <c:pt idx="14">
                  <c:v>4.0643945868945872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14-4E36-909F-44473EB0B116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(Summary!$L$84,Summary!$L$95,Summary!$L$106,Summary!$L$117,Summary!$L$128,Summary!$L$139,Summary!$L$150,Summary!$L$161,Summary!$L$172,Summary!$L$183,Summary!$L$194,Summary!$L$205,Summary!$L$216,Summary!$L$227,Summary!$L$238)</c:f>
              <c:numCache>
                <c:formatCode>0.00</c:formatCode>
                <c:ptCount val="15"/>
                <c:pt idx="0">
                  <c:v>4.7283475783475781</c:v>
                </c:pt>
                <c:pt idx="1">
                  <c:v>4.6634188034188027</c:v>
                </c:pt>
                <c:pt idx="2">
                  <c:v>4.3708262108262108</c:v>
                </c:pt>
                <c:pt idx="3">
                  <c:v>4.2751566951566948</c:v>
                </c:pt>
                <c:pt idx="4">
                  <c:v>4.1193239393239391</c:v>
                </c:pt>
                <c:pt idx="5">
                  <c:v>4.1159184285500077</c:v>
                </c:pt>
                <c:pt idx="6">
                  <c:v>3.9585185185185185</c:v>
                </c:pt>
                <c:pt idx="7">
                  <c:v>4.335035612535612</c:v>
                </c:pt>
                <c:pt idx="8">
                  <c:v>4.3267632548120352</c:v>
                </c:pt>
                <c:pt idx="9">
                  <c:v>4.2802075702075699</c:v>
                </c:pt>
                <c:pt idx="10">
                  <c:v>4.2716742860928907</c:v>
                </c:pt>
                <c:pt idx="11">
                  <c:v>4.4715423465423463</c:v>
                </c:pt>
                <c:pt idx="12">
                  <c:v>4.3531528964862298</c:v>
                </c:pt>
                <c:pt idx="13">
                  <c:v>4.4405911680911681</c:v>
                </c:pt>
                <c:pt idx="14">
                  <c:v>4.5992948717948714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14-4E36-909F-44473EB0B116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(Summary!$L$85,Summary!$L$96,Summary!$L$107,Summary!$L$118,Summary!$L$129,Summary!$L$140,Summary!$L$151,Summary!$L$162,Summary!$L$173,Summary!$L$184,Summary!$L$195,Summary!$L$206,Summary!$L$217,Summary!$L$228,Summary!$L$239)</c:f>
              <c:numCache>
                <c:formatCode>0.00</c:formatCode>
                <c:ptCount val="15"/>
                <c:pt idx="0">
                  <c:v>4.2341595441595441</c:v>
                </c:pt>
                <c:pt idx="1">
                  <c:v>4.1325641025641024</c:v>
                </c:pt>
                <c:pt idx="2">
                  <c:v>3.7284900284900284</c:v>
                </c:pt>
                <c:pt idx="3">
                  <c:v>3.6647910731244067</c:v>
                </c:pt>
                <c:pt idx="4">
                  <c:v>3.7987017787017785</c:v>
                </c:pt>
                <c:pt idx="5">
                  <c:v>3.7972529614634873</c:v>
                </c:pt>
                <c:pt idx="6">
                  <c:v>3.7760113960113961</c:v>
                </c:pt>
                <c:pt idx="7">
                  <c:v>4.0065170940170942</c:v>
                </c:pt>
                <c:pt idx="8">
                  <c:v>4.0008373288861092</c:v>
                </c:pt>
                <c:pt idx="9">
                  <c:v>3.9535409035409033</c:v>
                </c:pt>
                <c:pt idx="10">
                  <c:v>3.6185688729874776</c:v>
                </c:pt>
                <c:pt idx="11">
                  <c:v>3.9970979020979018</c:v>
                </c:pt>
                <c:pt idx="12">
                  <c:v>4.1935232668566007</c:v>
                </c:pt>
                <c:pt idx="13">
                  <c:v>4.2590170940170937</c:v>
                </c:pt>
                <c:pt idx="14">
                  <c:v>4.293739316239316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14-4E36-909F-44473EB0B116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(Summary!$L$86,Summary!$L$97,Summary!$L$108,Summary!$L$119,Summary!$L$130,Summary!$L$141,Summary!$L$152,Summary!$L$163,Summary!$L$174,Summary!$L$185,Summary!$L$196,Summary!$L$207,Summary!$L$218,Summary!$L$229,Summary!$L$240)</c:f>
              <c:numCache>
                <c:formatCode>0.00</c:formatCode>
                <c:ptCount val="15"/>
                <c:pt idx="0">
                  <c:v>3.8424216524216526</c:v>
                </c:pt>
                <c:pt idx="1">
                  <c:v>3.8235327635327638</c:v>
                </c:pt>
                <c:pt idx="2">
                  <c:v>3.6994586894586892</c:v>
                </c:pt>
                <c:pt idx="3">
                  <c:v>3.6742735042735042</c:v>
                </c:pt>
                <c:pt idx="4">
                  <c:v>3.6469800569800572</c:v>
                </c:pt>
                <c:pt idx="5">
                  <c:v>3.6469800569800572</c:v>
                </c:pt>
                <c:pt idx="6">
                  <c:v>3.6469800569800572</c:v>
                </c:pt>
                <c:pt idx="7">
                  <c:v>3.7954985754985753</c:v>
                </c:pt>
                <c:pt idx="8">
                  <c:v>3.6699430199430201</c:v>
                </c:pt>
                <c:pt idx="9">
                  <c:v>3.6469800569800572</c:v>
                </c:pt>
                <c:pt idx="10">
                  <c:v>3.6469800569800572</c:v>
                </c:pt>
                <c:pt idx="11">
                  <c:v>3.6469800569800572</c:v>
                </c:pt>
                <c:pt idx="12">
                  <c:v>3.6469800569800572</c:v>
                </c:pt>
                <c:pt idx="13">
                  <c:v>3.8932763532763528</c:v>
                </c:pt>
                <c:pt idx="14">
                  <c:v>3.8932763532763528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14-4E36-909F-44473EB0B116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(Summary!$L$87,Summary!$L$98,Summary!$L$109,Summary!$L$120,Summary!$L$131,Summary!$L$142,Summary!$L$153,Summary!$L$164,Summary!$L$175,Summary!$L$186,Summary!$L$197,Summary!$L$208,Summary!$L$219,Summary!$L$230,Summary!$L$241)</c:f>
              <c:numCache>
                <c:formatCode>0.00</c:formatCode>
                <c:ptCount val="15"/>
                <c:pt idx="0">
                  <c:v>4.0096011396011395</c:v>
                </c:pt>
                <c:pt idx="1">
                  <c:v>4.1055270655270659</c:v>
                </c:pt>
                <c:pt idx="2">
                  <c:v>3.839230769230769</c:v>
                </c:pt>
                <c:pt idx="3">
                  <c:v>3.7918281101614433</c:v>
                </c:pt>
                <c:pt idx="4">
                  <c:v>4.1239970739970744</c:v>
                </c:pt>
                <c:pt idx="5">
                  <c:v>4.1266681661418501</c:v>
                </c:pt>
                <c:pt idx="6">
                  <c:v>4.1292022792022793</c:v>
                </c:pt>
                <c:pt idx="7">
                  <c:v>4.1316096866096865</c:v>
                </c:pt>
                <c:pt idx="8">
                  <c:v>4.1338996595094155</c:v>
                </c:pt>
                <c:pt idx="9">
                  <c:v>4.1375620675620679</c:v>
                </c:pt>
                <c:pt idx="10">
                  <c:v>4.0196415556880671</c:v>
                </c:pt>
                <c:pt idx="11">
                  <c:v>4.0127376327376334</c:v>
                </c:pt>
                <c:pt idx="12">
                  <c:v>3.9961158594491937</c:v>
                </c:pt>
                <c:pt idx="13">
                  <c:v>4.2190064102564104</c:v>
                </c:pt>
                <c:pt idx="14">
                  <c:v>4.1049216524216527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14-4E36-909F-44473EB0B116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(Summary!$L$88,Summary!$L$99,Summary!$L$110,Summary!$L$121,Summary!$L$132,Summary!$L$143,Summary!$L$154,Summary!$L$165,Summary!$L$176,Summary!$L$187,Summary!$L$198,Summary!$L$209,Summary!$L$220,Summary!$L$231,Summary!$L$242)</c:f>
              <c:numCache>
                <c:formatCode>0.00</c:formatCode>
                <c:ptCount val="15"/>
                <c:pt idx="0">
                  <c:v>4.3318285418285418</c:v>
                </c:pt>
                <c:pt idx="1">
                  <c:v>4.3393547846489016</c:v>
                </c:pt>
                <c:pt idx="2">
                  <c:v>4.3464509564509557</c:v>
                </c:pt>
                <c:pt idx="3">
                  <c:v>4.3531528964862298</c:v>
                </c:pt>
                <c:pt idx="4">
                  <c:v>4.359492569492569</c:v>
                </c:pt>
                <c:pt idx="5">
                  <c:v>4.3654985754985747</c:v>
                </c:pt>
                <c:pt idx="6">
                  <c:v>4.3711965811965809</c:v>
                </c:pt>
                <c:pt idx="7">
                  <c:v>4.3766096866096866</c:v>
                </c:pt>
                <c:pt idx="8">
                  <c:v>4.3817587381002019</c:v>
                </c:pt>
                <c:pt idx="9">
                  <c:v>4.3866625966625969</c:v>
                </c:pt>
                <c:pt idx="10">
                  <c:v>4.3913383687802297</c:v>
                </c:pt>
                <c:pt idx="11">
                  <c:v>4.3958016058016058</c:v>
                </c:pt>
                <c:pt idx="12">
                  <c:v>4.4000664767331434</c:v>
                </c:pt>
                <c:pt idx="13">
                  <c:v>4.4256837606837607</c:v>
                </c:pt>
                <c:pt idx="14">
                  <c:v>4.460405982905983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14-4E36-909F-44473EB0B116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Summary!$O$243:$O$257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(Summary!$L$89,Summary!$L$100,Summary!$L$111,Summary!$L$122,Summary!$L$133,Summary!$L$144,Summary!$L$155,Summary!$L$166,Summary!$L$177,Summary!$L$188,Summary!$L$199,Summary!$L$210,Summary!$L$221,Summary!$L$232,Summary!$L$243)</c:f>
              <c:numCache>
                <c:formatCode>0.00</c:formatCode>
                <c:ptCount val="15"/>
                <c:pt idx="0">
                  <c:v>4.4679344729344734</c:v>
                </c:pt>
                <c:pt idx="1">
                  <c:v>4.4405270655270659</c:v>
                </c:pt>
                <c:pt idx="2">
                  <c:v>4.0208404558404558</c:v>
                </c:pt>
                <c:pt idx="3">
                  <c:v>3.9483808167141503</c:v>
                </c:pt>
                <c:pt idx="4">
                  <c:v>4.1164345114345116</c:v>
                </c:pt>
                <c:pt idx="5">
                  <c:v>4.1163270355375614</c:v>
                </c:pt>
                <c:pt idx="6">
                  <c:v>4.0568518518518522</c:v>
                </c:pt>
                <c:pt idx="7">
                  <c:v>4.3492948717948723</c:v>
                </c:pt>
                <c:pt idx="8">
                  <c:v>4.3410225140712955</c:v>
                </c:pt>
                <c:pt idx="9">
                  <c:v>4.2944668294668293</c:v>
                </c:pt>
                <c:pt idx="10">
                  <c:v>4.2859335453521501</c:v>
                </c:pt>
                <c:pt idx="11">
                  <c:v>4.3117275317275316</c:v>
                </c:pt>
                <c:pt idx="12">
                  <c:v>4.3044491927825268</c:v>
                </c:pt>
                <c:pt idx="13">
                  <c:v>4.4571189458689462</c:v>
                </c:pt>
                <c:pt idx="14">
                  <c:v>4.6131837606837607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14-4E36-909F-44473EB0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1392554</xdr:colOff>
      <xdr:row>246</xdr:row>
      <xdr:rowOff>79056</xdr:rowOff>
    </xdr:from>
    <xdr:to>
      <xdr:col>9</xdr:col>
      <xdr:colOff>76200</xdr:colOff>
      <xdr:row>282</xdr:row>
      <xdr:rowOff>19050</xdr:rowOff>
    </xdr:to>
    <xdr:graphicFrame macro="">
      <xdr:nvGraphicFramePr>
        <xdr:cNvPr id="17" name="Chart 8">
          <a:extLst>
            <a:ext uri="{FF2B5EF4-FFF2-40B4-BE49-F238E27FC236}">
              <a16:creationId xmlns:a16="http://schemas.microsoft.com/office/drawing/2014/main" id="{5298C3D4-9D54-D2A3-3DC1-ADB128252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1400175</xdr:colOff>
      <xdr:row>283</xdr:row>
      <xdr:rowOff>158115</xdr:rowOff>
    </xdr:from>
    <xdr:to>
      <xdr:col>9</xdr:col>
      <xdr:colOff>81916</xdr:colOff>
      <xdr:row>319</xdr:row>
      <xdr:rowOff>96204</xdr:rowOff>
    </xdr:to>
    <xdr:graphicFrame macro="">
      <xdr:nvGraphicFramePr>
        <xdr:cNvPr id="23" name="Chart 8">
          <a:extLst>
            <a:ext uri="{FF2B5EF4-FFF2-40B4-BE49-F238E27FC236}">
              <a16:creationId xmlns:a16="http://schemas.microsoft.com/office/drawing/2014/main" id="{038A63D9-1F91-437B-8E31-A9E31694C58D}"/>
            </a:ext>
            <a:ext uri="{147F2762-F138-4A5C-976F-8EAC2B608ADB}">
              <a16:predDERef xmlns:a16="http://schemas.microsoft.com/office/drawing/2014/main" pred="{5298C3D4-9D54-D2A3-3DC1-ADB128252A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1377315</xdr:colOff>
      <xdr:row>320</xdr:row>
      <xdr:rowOff>171450</xdr:rowOff>
    </xdr:from>
    <xdr:to>
      <xdr:col>9</xdr:col>
      <xdr:colOff>66676</xdr:colOff>
      <xdr:row>356</xdr:row>
      <xdr:rowOff>103824</xdr:rowOff>
    </xdr:to>
    <xdr:graphicFrame macro="">
      <xdr:nvGraphicFramePr>
        <xdr:cNvPr id="24" name="Chart 8">
          <a:extLst>
            <a:ext uri="{FF2B5EF4-FFF2-40B4-BE49-F238E27FC236}">
              <a16:creationId xmlns:a16="http://schemas.microsoft.com/office/drawing/2014/main" id="{4A4EE190-1684-4BAF-9682-9E44D5BE85E7}"/>
            </a:ext>
            <a:ext uri="{147F2762-F138-4A5C-976F-8EAC2B608ADB}">
              <a16:predDERef xmlns:a16="http://schemas.microsoft.com/office/drawing/2014/main" pred="{038A63D9-1F91-437B-8E31-A9E31694C5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9"/>
  <sheetViews>
    <sheetView topLeftCell="A7" workbookViewId="0">
      <selection activeCell="D40" sqref="D40"/>
    </sheetView>
  </sheetViews>
  <sheetFormatPr defaultRowHeight="15" customHeight="1" x14ac:dyDescent="0.3"/>
  <cols>
    <col min="1" max="17" width="10.6640625" customWidth="1"/>
    <col min="18" max="18" width="12.6640625" customWidth="1"/>
    <col min="20" max="20" width="13.109375" customWidth="1"/>
  </cols>
  <sheetData>
    <row r="1" spans="1:25" ht="14.4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  <c r="U1" t="s">
        <v>1</v>
      </c>
    </row>
    <row r="2" spans="1:25" ht="14.4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8.564814814814815E-4</v>
      </c>
      <c r="H2" s="22">
        <v>1.9675925925925924E-3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U2" t="s">
        <v>5</v>
      </c>
    </row>
    <row r="3" spans="1:25" ht="14.4" x14ac:dyDescent="0.3">
      <c r="A3" s="2">
        <v>1700</v>
      </c>
      <c r="B3" s="7" t="s">
        <v>6</v>
      </c>
      <c r="C3" s="25">
        <v>1.8518518518518519E-3</v>
      </c>
      <c r="D3" s="25">
        <v>1.8518518518518519E-3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3.6805555555555554E-3</v>
      </c>
      <c r="K3" s="3">
        <v>3.6805555555555554E-3</v>
      </c>
      <c r="L3" s="3">
        <v>6.1111111111111114E-3</v>
      </c>
      <c r="M3" s="3">
        <v>6.1111111111111114E-3</v>
      </c>
      <c r="N3" s="3">
        <v>6.1111111111111114E-3</v>
      </c>
      <c r="O3" s="3">
        <v>6.1111111111111114E-3</v>
      </c>
      <c r="P3" s="3">
        <v>1.5509259259259259E-3</v>
      </c>
      <c r="Q3" s="3">
        <v>1.5509259259259259E-3</v>
      </c>
      <c r="R3" t="s">
        <v>7</v>
      </c>
      <c r="U3" t="s">
        <v>8</v>
      </c>
    </row>
    <row r="4" spans="1:25" ht="14.4" x14ac:dyDescent="0.3">
      <c r="A4" s="2">
        <v>7000</v>
      </c>
      <c r="B4" s="7" t="s">
        <v>9</v>
      </c>
      <c r="C4" s="25">
        <v>1.6666666666666668E-3</v>
      </c>
      <c r="D4" s="25">
        <v>1.6666666666666668E-3</v>
      </c>
      <c r="E4" s="3">
        <v>2.0833333333333333E-3</v>
      </c>
      <c r="F4" s="3">
        <v>2.7777777777777779E-3</v>
      </c>
      <c r="G4" s="3">
        <v>3.472222222222222E-3</v>
      </c>
      <c r="H4" s="3">
        <v>4.1666666666666666E-3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5" ht="14.4" x14ac:dyDescent="0.3">
      <c r="A5" s="2">
        <v>31200</v>
      </c>
      <c r="B5" s="7" t="s">
        <v>11</v>
      </c>
      <c r="C5" s="25">
        <v>1.6203703703703703E-3</v>
      </c>
      <c r="D5" s="25">
        <v>1.6203703703703703E-3</v>
      </c>
      <c r="E5" s="25">
        <v>1.6203703703703703E-3</v>
      </c>
      <c r="F5" s="25">
        <v>1.6203703703703703E-3</v>
      </c>
      <c r="G5" s="25">
        <v>1.6203703703703703E-3</v>
      </c>
      <c r="H5" s="25">
        <v>1.6203703703703703E-3</v>
      </c>
      <c r="I5" s="25">
        <v>1.6203703703703703E-3</v>
      </c>
      <c r="J5" s="25">
        <v>1.6203703703703703E-3</v>
      </c>
      <c r="K5" s="3">
        <v>1.6203703703703703E-3</v>
      </c>
      <c r="L5" s="3">
        <v>1.6203703703703703E-3</v>
      </c>
      <c r="M5" s="3">
        <v>1.6203703703703703E-3</v>
      </c>
      <c r="N5" s="3">
        <v>1.6203703703703703E-3</v>
      </c>
      <c r="O5" s="3">
        <v>1.6203703703703703E-3</v>
      </c>
      <c r="P5" s="3">
        <v>1.6203703703703703E-3</v>
      </c>
      <c r="Q5" s="3">
        <v>1.6203703703703703E-3</v>
      </c>
      <c r="R5" t="s">
        <v>12</v>
      </c>
    </row>
    <row r="6" spans="1:25" ht="14.4" x14ac:dyDescent="0.3">
      <c r="A6" s="2">
        <v>7900</v>
      </c>
      <c r="B6" s="7" t="s">
        <v>13</v>
      </c>
      <c r="C6" s="25">
        <v>0</v>
      </c>
      <c r="D6" s="25">
        <v>0</v>
      </c>
      <c r="E6" s="3">
        <v>3.4722222222222224E-4</v>
      </c>
      <c r="F6" s="3">
        <v>1.0416666666666667E-3</v>
      </c>
      <c r="G6" s="3">
        <v>1.736111111111111E-3</v>
      </c>
      <c r="H6" s="3">
        <v>2.4305555555555556E-3</v>
      </c>
      <c r="I6" s="3">
        <v>3.1250000000000002E-3</v>
      </c>
      <c r="J6" s="3">
        <v>4.6296296296296294E-3</v>
      </c>
      <c r="K6" s="3">
        <v>4.6296296296296294E-3</v>
      </c>
      <c r="L6" s="3">
        <v>8.3333333333333339E-4</v>
      </c>
      <c r="M6" s="3">
        <v>2.1064814814814813E-3</v>
      </c>
      <c r="N6" s="3">
        <v>2.8009259259259259E-3</v>
      </c>
      <c r="O6" s="3">
        <v>3.4953703703703705E-3</v>
      </c>
      <c r="P6" s="3">
        <v>0</v>
      </c>
      <c r="Q6" s="3">
        <v>0</v>
      </c>
      <c r="R6" t="s">
        <v>14</v>
      </c>
    </row>
    <row r="7" spans="1:25" ht="14.4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9.2592592592592596E-4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5" ht="14.4" x14ac:dyDescent="0.3">
      <c r="A8" s="2">
        <v>3600</v>
      </c>
      <c r="B8" s="7" t="s">
        <v>16</v>
      </c>
      <c r="C8" s="25">
        <v>4.2592592592592595E-3</v>
      </c>
      <c r="D8" s="25">
        <v>4.2592592592592595E-3</v>
      </c>
      <c r="E8" s="3">
        <v>4.6759259259259263E-3</v>
      </c>
      <c r="F8" s="3">
        <v>5.37037037037037E-3</v>
      </c>
      <c r="G8" s="3">
        <v>6.0648148148148145E-3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5" ht="14.4" x14ac:dyDescent="0.3">
      <c r="A9" s="2">
        <v>20350</v>
      </c>
      <c r="B9" s="7" t="s">
        <v>18</v>
      </c>
      <c r="C9" s="25">
        <v>0</v>
      </c>
      <c r="D9" s="25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22">
        <v>6.9444444444444447E-4</v>
      </c>
      <c r="P9" s="22">
        <v>0</v>
      </c>
      <c r="Q9" s="22">
        <v>0</v>
      </c>
      <c r="R9" t="s">
        <v>19</v>
      </c>
      <c r="S9" t="s">
        <v>20</v>
      </c>
    </row>
    <row r="10" spans="1:25" ht="14.4" x14ac:dyDescent="0.3">
      <c r="A10" s="4">
        <v>31200</v>
      </c>
      <c r="B10" s="8" t="s">
        <v>18</v>
      </c>
      <c r="C10" s="5" t="s">
        <v>21</v>
      </c>
      <c r="D10" s="5" t="s">
        <v>21</v>
      </c>
      <c r="E10" s="5" t="s">
        <v>21</v>
      </c>
      <c r="F10" s="5" t="s">
        <v>21</v>
      </c>
      <c r="G10" s="5" t="s">
        <v>21</v>
      </c>
      <c r="H10" s="5" t="s">
        <v>21</v>
      </c>
      <c r="I10" s="5" t="s">
        <v>21</v>
      </c>
      <c r="J10" s="5" t="s">
        <v>21</v>
      </c>
      <c r="K10" s="5" t="s">
        <v>21</v>
      </c>
      <c r="L10" s="5" t="s">
        <v>21</v>
      </c>
      <c r="M10" s="5" t="s">
        <v>21</v>
      </c>
      <c r="N10" s="5" t="s">
        <v>21</v>
      </c>
      <c r="O10" s="5" t="s">
        <v>21</v>
      </c>
      <c r="P10" s="5" t="s">
        <v>21</v>
      </c>
      <c r="Q10" s="5" t="s">
        <v>21</v>
      </c>
      <c r="R10" t="s">
        <v>22</v>
      </c>
      <c r="U10" t="s">
        <v>23</v>
      </c>
    </row>
    <row r="11" spans="1:25" ht="14.4" x14ac:dyDescent="0.3">
      <c r="A11" s="2">
        <v>31200</v>
      </c>
      <c r="B11" s="2" t="s">
        <v>24</v>
      </c>
      <c r="C11" s="26">
        <v>6.2500000000000001E-4</v>
      </c>
      <c r="D11" s="26">
        <v>6.2500000000000001E-4</v>
      </c>
      <c r="E11" s="26">
        <v>6.2500000000000001E-4</v>
      </c>
      <c r="F11" s="26">
        <v>6.2500000000000001E-4</v>
      </c>
      <c r="G11" s="26">
        <v>6.2500000000000001E-4</v>
      </c>
      <c r="H11" s="26">
        <v>6.2500000000000001E-4</v>
      </c>
      <c r="I11" s="26">
        <v>6.2500000000000001E-4</v>
      </c>
      <c r="J11" s="26">
        <v>6.2500000000000001E-4</v>
      </c>
      <c r="K11" s="26">
        <v>6.2500000000000001E-4</v>
      </c>
      <c r="L11" s="26">
        <v>6.2500000000000001E-4</v>
      </c>
      <c r="M11" s="26">
        <v>6.2500000000000001E-4</v>
      </c>
      <c r="N11" s="26">
        <v>6.2500000000000001E-4</v>
      </c>
      <c r="O11" s="26">
        <v>6.2500000000000001E-4</v>
      </c>
      <c r="P11" s="26">
        <v>6.2500000000000001E-4</v>
      </c>
      <c r="Q11" s="26">
        <v>6.2500000000000001E-4</v>
      </c>
    </row>
    <row r="12" spans="1:25" ht="14.4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8.1018518518518516E-4</v>
      </c>
      <c r="K12" s="3">
        <v>8.1018518518518516E-4</v>
      </c>
      <c r="L12" s="3">
        <v>0</v>
      </c>
      <c r="M12" s="3">
        <v>0</v>
      </c>
      <c r="N12" s="3">
        <v>0</v>
      </c>
      <c r="O12" s="3">
        <v>0</v>
      </c>
      <c r="P12" s="22">
        <v>0</v>
      </c>
      <c r="Q12" s="22">
        <v>0</v>
      </c>
    </row>
    <row r="13" spans="1:25" ht="14.4" x14ac:dyDescent="0.3">
      <c r="A13" s="9" t="s">
        <v>25</v>
      </c>
      <c r="B13" s="9"/>
      <c r="C13" s="10">
        <f t="shared" ref="C13:Q13" si="0">SUM(C3:C8)</f>
        <v>9.3981481481481485E-3</v>
      </c>
      <c r="D13" s="10">
        <f t="shared" si="0"/>
        <v>9.3981481481481485E-3</v>
      </c>
      <c r="E13" s="10">
        <f>SUM(E3:E8)</f>
        <v>1.0995370370370371E-2</v>
      </c>
      <c r="F13" s="10">
        <f t="shared" si="0"/>
        <v>1.3773148148148149E-2</v>
      </c>
      <c r="G13" s="10">
        <f t="shared" si="0"/>
        <v>2.4259259259259258E-2</v>
      </c>
      <c r="H13" s="10">
        <f t="shared" si="0"/>
        <v>2.1458333333333336E-2</v>
      </c>
      <c r="I13" s="10">
        <f t="shared" si="0"/>
        <v>2.3125E-2</v>
      </c>
      <c r="J13" s="10">
        <f t="shared" si="0"/>
        <v>1.087962962962963E-2</v>
      </c>
      <c r="K13" s="10">
        <f t="shared" si="0"/>
        <v>1.087962962962963E-2</v>
      </c>
      <c r="L13" s="10">
        <f t="shared" si="0"/>
        <v>9.5138888888888894E-3</v>
      </c>
      <c r="M13" s="10">
        <f t="shared" si="0"/>
        <v>1.0787037037037038E-2</v>
      </c>
      <c r="N13" s="10">
        <f t="shared" si="0"/>
        <v>1.1481481481481481E-2</v>
      </c>
      <c r="O13" s="10">
        <f t="shared" si="0"/>
        <v>1.2175925925925927E-2</v>
      </c>
      <c r="P13" s="10">
        <f t="shared" si="0"/>
        <v>5.4861111111111109E-3</v>
      </c>
      <c r="Q13" s="10">
        <f t="shared" si="0"/>
        <v>5.4861111111111109E-3</v>
      </c>
      <c r="U13" t="s">
        <v>26</v>
      </c>
    </row>
    <row r="15" spans="1:25" ht="14.4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  <c r="U15" t="s">
        <v>27</v>
      </c>
    </row>
    <row r="16" spans="1:25" ht="14.4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  <c r="U16" t="s">
        <v>28</v>
      </c>
      <c r="Y16" t="s">
        <v>29</v>
      </c>
    </row>
    <row r="17" spans="1:25" ht="14.4" x14ac:dyDescent="0.3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1</v>
      </c>
      <c r="E17" t="b">
        <f t="shared" si="5"/>
        <v>0</v>
      </c>
      <c r="F17" t="b">
        <f t="shared" ref="F17:O17" si="9">F4&lt;3/1440</f>
        <v>0</v>
      </c>
      <c r="G17" t="b">
        <f t="shared" si="9"/>
        <v>0</v>
      </c>
      <c r="H17" t="b">
        <f t="shared" si="9"/>
        <v>0</v>
      </c>
      <c r="I17" t="b">
        <f t="shared" si="9"/>
        <v>0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  <c r="Y17" t="s">
        <v>30</v>
      </c>
    </row>
    <row r="18" spans="1:25" ht="14.4" x14ac:dyDescent="0.3">
      <c r="A18" s="2">
        <v>31200</v>
      </c>
      <c r="B18" s="2" t="s">
        <v>11</v>
      </c>
      <c r="C18" t="b">
        <f t="shared" ref="C18:D18" si="11">C5&lt;3/1440</f>
        <v>1</v>
      </c>
      <c r="D18" t="b">
        <f t="shared" si="11"/>
        <v>1</v>
      </c>
      <c r="E18" t="b">
        <f t="shared" si="5"/>
        <v>1</v>
      </c>
      <c r="F18" t="b">
        <f t="shared" ref="F18:O18" si="12">F5&lt;3/1440</f>
        <v>1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25" ht="14.4" x14ac:dyDescent="0.3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1</v>
      </c>
      <c r="H19" t="b">
        <f t="shared" si="15"/>
        <v>0</v>
      </c>
      <c r="I19" t="b">
        <f t="shared" si="15"/>
        <v>0</v>
      </c>
      <c r="J19" t="b">
        <f t="shared" si="15"/>
        <v>0</v>
      </c>
      <c r="K19" t="b">
        <f t="shared" si="15"/>
        <v>0</v>
      </c>
      <c r="L19" t="b">
        <f t="shared" si="15"/>
        <v>1</v>
      </c>
      <c r="M19" t="b">
        <f t="shared" si="15"/>
        <v>0</v>
      </c>
      <c r="N19" t="b">
        <f t="shared" si="15"/>
        <v>0</v>
      </c>
      <c r="O19" t="b">
        <f t="shared" si="15"/>
        <v>0</v>
      </c>
      <c r="P19" t="b">
        <f t="shared" ref="P19:Q19" si="16">P6&lt;3/1440</f>
        <v>1</v>
      </c>
      <c r="Q19" t="b">
        <f t="shared" si="16"/>
        <v>1</v>
      </c>
    </row>
    <row r="20" spans="1:25" ht="14.4" x14ac:dyDescent="0.3">
      <c r="A20" s="2">
        <v>31300</v>
      </c>
      <c r="B20" s="2" t="s">
        <v>3</v>
      </c>
      <c r="C20" t="b">
        <f>C7&lt;3/1440</f>
        <v>1</v>
      </c>
      <c r="D20" t="b">
        <f>D7&lt;3/1440</f>
        <v>1</v>
      </c>
      <c r="E20" t="b">
        <f t="shared" si="5"/>
        <v>1</v>
      </c>
      <c r="F20" t="b">
        <f t="shared" ref="F20:O21" si="17">F7&lt;3/1440</f>
        <v>1</v>
      </c>
      <c r="G20" t="b">
        <f t="shared" si="17"/>
        <v>1</v>
      </c>
      <c r="H20" t="b">
        <f t="shared" si="17"/>
        <v>1</v>
      </c>
      <c r="I20" t="b">
        <f t="shared" si="17"/>
        <v>1</v>
      </c>
      <c r="J20" t="b">
        <f t="shared" si="17"/>
        <v>1</v>
      </c>
      <c r="K20" t="b">
        <f t="shared" si="17"/>
        <v>1</v>
      </c>
      <c r="L20" t="b">
        <f t="shared" si="17"/>
        <v>1</v>
      </c>
      <c r="M20" t="b">
        <f t="shared" si="17"/>
        <v>1</v>
      </c>
      <c r="N20" t="b">
        <f t="shared" si="17"/>
        <v>1</v>
      </c>
      <c r="O20" t="b">
        <f t="shared" si="17"/>
        <v>1</v>
      </c>
      <c r="P20" t="b">
        <f>P7&lt;3/1440</f>
        <v>1</v>
      </c>
      <c r="Q20" t="b">
        <f>Q7&lt;3/1440</f>
        <v>1</v>
      </c>
    </row>
    <row r="21" spans="1:25" ht="14.4" x14ac:dyDescent="0.3">
      <c r="A21" s="2">
        <v>3600</v>
      </c>
      <c r="B21" s="2" t="s">
        <v>16</v>
      </c>
      <c r="C21" t="b">
        <f>C8&lt;3/1440</f>
        <v>0</v>
      </c>
      <c r="D21" t="b">
        <f>D8&lt;3/1440</f>
        <v>0</v>
      </c>
      <c r="E21" t="b">
        <f t="shared" si="5"/>
        <v>0</v>
      </c>
      <c r="F21" t="b">
        <f t="shared" si="17"/>
        <v>0</v>
      </c>
      <c r="G21" t="b">
        <f t="shared" si="17"/>
        <v>0</v>
      </c>
      <c r="H21" t="b">
        <f t="shared" si="17"/>
        <v>1</v>
      </c>
      <c r="I21" t="b">
        <f t="shared" si="17"/>
        <v>1</v>
      </c>
      <c r="J21" t="b">
        <f t="shared" si="17"/>
        <v>1</v>
      </c>
      <c r="K21" t="b">
        <f t="shared" si="17"/>
        <v>1</v>
      </c>
      <c r="L21" t="b">
        <f t="shared" si="17"/>
        <v>1</v>
      </c>
      <c r="M21" t="b">
        <f t="shared" si="17"/>
        <v>1</v>
      </c>
      <c r="N21" t="b">
        <f t="shared" si="17"/>
        <v>1</v>
      </c>
      <c r="O21" t="b">
        <f t="shared" si="17"/>
        <v>1</v>
      </c>
      <c r="P21" t="b">
        <f>P8&lt;3/1440</f>
        <v>1</v>
      </c>
      <c r="Q21" t="b">
        <f>Q8&lt;3/1440</f>
        <v>1</v>
      </c>
    </row>
    <row r="22" spans="1:25" ht="14.4" x14ac:dyDescent="0.3">
      <c r="A22" s="2">
        <v>20350</v>
      </c>
      <c r="B22" s="7" t="s">
        <v>18</v>
      </c>
      <c r="C22" t="b">
        <f t="shared" ref="C22:D22" si="18">C9&lt;3/1440</f>
        <v>1</v>
      </c>
      <c r="D22" t="b">
        <f t="shared" si="18"/>
        <v>1</v>
      </c>
      <c r="E22" t="b">
        <f t="shared" ref="E22" si="19">E9&lt;3/1440</f>
        <v>1</v>
      </c>
      <c r="F22" t="b">
        <f t="shared" ref="F22:O22" si="20">F9&lt;3/1440</f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ref="P22:Q22" si="21">P9&lt;3/1440</f>
        <v>1</v>
      </c>
      <c r="Q22" t="b">
        <f t="shared" si="21"/>
        <v>1</v>
      </c>
    </row>
    <row r="23" spans="1:25" ht="14.4" x14ac:dyDescent="0.3">
      <c r="A23" s="2">
        <v>31200</v>
      </c>
      <c r="B23" s="2" t="s">
        <v>18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 s="3"/>
      <c r="S23" s="3"/>
    </row>
    <row r="24" spans="1:25" ht="14.4" x14ac:dyDescent="0.3">
      <c r="A24" s="2">
        <v>31200</v>
      </c>
      <c r="B24" s="2" t="s">
        <v>24</v>
      </c>
      <c r="C24" t="b">
        <f t="shared" ref="C24:D24" si="22">C11&lt;3/1440</f>
        <v>1</v>
      </c>
      <c r="D24" t="b">
        <f t="shared" si="22"/>
        <v>1</v>
      </c>
      <c r="E24" t="b">
        <f t="shared" ref="E24:O25" si="23">E11&lt;3/1440</f>
        <v>1</v>
      </c>
      <c r="F24" t="b">
        <f t="shared" si="23"/>
        <v>1</v>
      </c>
      <c r="G24" t="b">
        <f t="shared" si="23"/>
        <v>1</v>
      </c>
      <c r="H24" t="b">
        <f t="shared" si="23"/>
        <v>1</v>
      </c>
      <c r="I24" t="b">
        <f t="shared" si="23"/>
        <v>1</v>
      </c>
      <c r="J24" t="b">
        <f t="shared" si="23"/>
        <v>1</v>
      </c>
      <c r="K24" t="b">
        <f t="shared" si="23"/>
        <v>1</v>
      </c>
      <c r="L24" t="b">
        <f t="shared" si="23"/>
        <v>1</v>
      </c>
      <c r="M24" t="b">
        <f t="shared" si="23"/>
        <v>1</v>
      </c>
      <c r="N24" t="b">
        <f t="shared" si="23"/>
        <v>1</v>
      </c>
      <c r="O24" t="b">
        <f t="shared" si="23"/>
        <v>1</v>
      </c>
      <c r="P24" t="b">
        <f t="shared" ref="P24:Q24" si="24">P11&lt;3/1440</f>
        <v>1</v>
      </c>
      <c r="Q24" t="b">
        <f t="shared" si="24"/>
        <v>1</v>
      </c>
    </row>
    <row r="25" spans="1:25" ht="14.4" x14ac:dyDescent="0.3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si="23"/>
        <v>1</v>
      </c>
      <c r="F25" t="b">
        <f t="shared" si="23"/>
        <v>1</v>
      </c>
      <c r="G25" t="b">
        <f t="shared" si="23"/>
        <v>1</v>
      </c>
      <c r="H25" t="b">
        <f t="shared" si="23"/>
        <v>1</v>
      </c>
      <c r="I25" t="b">
        <f t="shared" si="23"/>
        <v>1</v>
      </c>
      <c r="J25" t="b">
        <f t="shared" si="23"/>
        <v>1</v>
      </c>
      <c r="K25" t="b">
        <f t="shared" si="23"/>
        <v>1</v>
      </c>
      <c r="L25" t="b">
        <f t="shared" si="23"/>
        <v>1</v>
      </c>
      <c r="M25" t="b">
        <f t="shared" si="23"/>
        <v>1</v>
      </c>
      <c r="N25" t="b">
        <f t="shared" si="23"/>
        <v>1</v>
      </c>
      <c r="O25" t="b">
        <f t="shared" si="23"/>
        <v>1</v>
      </c>
      <c r="P25" t="b">
        <f t="shared" ref="P25:Q25" si="26">P12&lt;3/1440</f>
        <v>1</v>
      </c>
      <c r="Q25" t="b">
        <f t="shared" si="26"/>
        <v>1</v>
      </c>
    </row>
    <row r="26" spans="1:25" ht="14.4" x14ac:dyDescent="0.3">
      <c r="A26" t="s">
        <v>31</v>
      </c>
      <c r="C26" s="12">
        <f>COUNTIF(C16:C21,TRUE) / 6</f>
        <v>0.83333333333333337</v>
      </c>
      <c r="D26" s="12">
        <f t="shared" ref="D26:Q26" si="27">COUNTIF(D16:D21,TRUE) / 6</f>
        <v>0.83333333333333337</v>
      </c>
      <c r="E26" s="12">
        <f t="shared" si="27"/>
        <v>0.5</v>
      </c>
      <c r="F26" s="12">
        <f t="shared" si="27"/>
        <v>0.5</v>
      </c>
      <c r="G26" s="12">
        <f t="shared" si="27"/>
        <v>0.5</v>
      </c>
      <c r="H26" s="12">
        <f t="shared" si="27"/>
        <v>0.5</v>
      </c>
      <c r="I26" s="12">
        <f t="shared" si="27"/>
        <v>0.5</v>
      </c>
      <c r="J26" s="12">
        <f t="shared" si="27"/>
        <v>0.66666666666666663</v>
      </c>
      <c r="K26" s="12">
        <f t="shared" si="27"/>
        <v>0.66666666666666663</v>
      </c>
      <c r="L26" s="12">
        <f t="shared" si="27"/>
        <v>0.83333333333333337</v>
      </c>
      <c r="M26" s="12">
        <f t="shared" si="27"/>
        <v>0.66666666666666663</v>
      </c>
      <c r="N26" s="12">
        <f t="shared" si="27"/>
        <v>0.66666666666666663</v>
      </c>
      <c r="O26" s="12">
        <f t="shared" si="27"/>
        <v>0.66666666666666663</v>
      </c>
      <c r="P26" s="12">
        <f t="shared" si="27"/>
        <v>1</v>
      </c>
      <c r="Q26" s="12">
        <f t="shared" si="27"/>
        <v>1</v>
      </c>
      <c r="R26" s="12"/>
      <c r="S26" s="12"/>
      <c r="U26" t="s">
        <v>32</v>
      </c>
    </row>
    <row r="28" spans="1:25" ht="14.4" x14ac:dyDescent="0.3">
      <c r="A28" t="s">
        <v>33</v>
      </c>
      <c r="C28" s="3">
        <f t="shared" ref="C28:D28" si="28">C2-C1</f>
        <v>-2.0833333333333333E-3</v>
      </c>
      <c r="D28" s="3">
        <f t="shared" si="28"/>
        <v>-2.7777777777777779E-3</v>
      </c>
      <c r="E28" s="3">
        <f>E2-E1</f>
        <v>-3.472222222222222E-3</v>
      </c>
      <c r="F28" s="3">
        <f t="shared" ref="F28:O28" si="29">F2-F1</f>
        <v>-4.0046296296296297E-3</v>
      </c>
      <c r="G28" s="3">
        <f t="shared" si="29"/>
        <v>-4.0046296296296288E-3</v>
      </c>
      <c r="H28" s="3">
        <f t="shared" si="29"/>
        <v>-3.5879629629629573E-3</v>
      </c>
      <c r="I28" s="3">
        <f t="shared" si="29"/>
        <v>-4.0046296296296306E-3</v>
      </c>
      <c r="J28" s="3">
        <f t="shared" si="29"/>
        <v>2.7546296296296338E-3</v>
      </c>
      <c r="K28" s="3">
        <f t="shared" si="29"/>
        <v>2.0601851851851831E-3</v>
      </c>
      <c r="L28" s="3">
        <f t="shared" si="29"/>
        <v>1.3657407407407438E-3</v>
      </c>
      <c r="M28" s="3">
        <f t="shared" si="29"/>
        <v>6.712962962962931E-4</v>
      </c>
      <c r="N28" s="3">
        <f t="shared" si="29"/>
        <v>-2.3148148148147141E-5</v>
      </c>
      <c r="O28" s="3">
        <f t="shared" si="29"/>
        <v>-7.1759259259262728E-4</v>
      </c>
      <c r="P28" s="3">
        <f t="shared" ref="P28:Q28" si="30">P2-P1</f>
        <v>3.7037037037037056E-3</v>
      </c>
      <c r="Q28" s="3">
        <f t="shared" si="30"/>
        <v>2.3148148148148182E-4</v>
      </c>
      <c r="R28" t="s">
        <v>34</v>
      </c>
    </row>
    <row r="29" spans="1:25" ht="14.4" x14ac:dyDescent="0.3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t="s">
        <v>35</v>
      </c>
    </row>
    <row r="30" spans="1:25" ht="14.4" x14ac:dyDescent="0.3">
      <c r="A30" t="s">
        <v>36</v>
      </c>
      <c r="C30" t="s">
        <v>37</v>
      </c>
      <c r="D30" t="s">
        <v>37</v>
      </c>
      <c r="E30" t="s">
        <v>37</v>
      </c>
    </row>
    <row r="31" spans="1:25" ht="14.4" x14ac:dyDescent="0.3">
      <c r="A31" t="s">
        <v>38</v>
      </c>
      <c r="C31" s="12">
        <f>C40</f>
        <v>0.82051282051282048</v>
      </c>
      <c r="D31" s="12">
        <f t="shared" ref="D31:Q31" si="31">D40</f>
        <v>0.82051282051282048</v>
      </c>
      <c r="E31" s="12">
        <f t="shared" si="31"/>
        <v>0.82051282051282048</v>
      </c>
      <c r="F31" s="12">
        <f t="shared" si="31"/>
        <v>0.79487179487179493</v>
      </c>
      <c r="G31" s="12">
        <f t="shared" si="31"/>
        <v>0.74358974358974361</v>
      </c>
      <c r="H31" s="12">
        <f t="shared" si="31"/>
        <v>0.92307692307692313</v>
      </c>
      <c r="I31" s="12">
        <f t="shared" si="31"/>
        <v>0.92307692307692313</v>
      </c>
      <c r="J31" s="12">
        <f t="shared" si="31"/>
        <v>0.92307692307692313</v>
      </c>
      <c r="K31" s="12">
        <f t="shared" si="31"/>
        <v>0.92307692307692313</v>
      </c>
      <c r="L31" s="12">
        <f t="shared" si="31"/>
        <v>0.92307692307692313</v>
      </c>
      <c r="M31" s="12">
        <f t="shared" si="31"/>
        <v>0.92307692307692313</v>
      </c>
      <c r="N31" s="12">
        <f t="shared" si="31"/>
        <v>0.92307692307692313</v>
      </c>
      <c r="O31" s="12">
        <f t="shared" si="31"/>
        <v>0.92307692307692313</v>
      </c>
      <c r="P31" s="12">
        <f t="shared" si="31"/>
        <v>0.92307692307692313</v>
      </c>
      <c r="Q31" s="12">
        <f t="shared" si="31"/>
        <v>0.92307692307692313</v>
      </c>
      <c r="U31" t="s">
        <v>39</v>
      </c>
    </row>
    <row r="33" spans="1:17" ht="14.4" x14ac:dyDescent="0.3"/>
    <row r="34" spans="1:17" ht="14.4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ht="14.4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ht="14.4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ht="14.4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2</v>
      </c>
      <c r="K37">
        <v>2</v>
      </c>
      <c r="L37">
        <v>2</v>
      </c>
      <c r="M37">
        <v>2</v>
      </c>
      <c r="N37">
        <v>2</v>
      </c>
      <c r="O37">
        <v>2</v>
      </c>
      <c r="P37">
        <v>2</v>
      </c>
      <c r="Q37">
        <v>2</v>
      </c>
    </row>
    <row r="38" spans="1:17" ht="14.4" x14ac:dyDescent="0.3">
      <c r="A38">
        <v>3600</v>
      </c>
      <c r="B38" t="s">
        <v>16</v>
      </c>
      <c r="C38">
        <v>5</v>
      </c>
      <c r="D38">
        <v>5</v>
      </c>
      <c r="E38">
        <v>5</v>
      </c>
      <c r="F38">
        <v>6</v>
      </c>
      <c r="G38">
        <v>8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ht="14.4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ht="14.4" x14ac:dyDescent="0.3">
      <c r="C40" s="12">
        <f>1-SUM(C34:C39)/39</f>
        <v>0.82051282051282048</v>
      </c>
      <c r="D40" s="12">
        <f t="shared" ref="D40:Q40" si="32">1-SUM(D34:D39)/39</f>
        <v>0.82051282051282048</v>
      </c>
      <c r="E40" s="12">
        <f t="shared" si="32"/>
        <v>0.82051282051282048</v>
      </c>
      <c r="F40" s="12">
        <f t="shared" si="32"/>
        <v>0.79487179487179493</v>
      </c>
      <c r="G40" s="12">
        <f t="shared" si="32"/>
        <v>0.74358974358974361</v>
      </c>
      <c r="H40" s="12">
        <f t="shared" si="32"/>
        <v>0.92307692307692313</v>
      </c>
      <c r="I40" s="12">
        <f t="shared" si="32"/>
        <v>0.92307692307692313</v>
      </c>
      <c r="J40" s="12">
        <f t="shared" si="32"/>
        <v>0.92307692307692313</v>
      </c>
      <c r="K40" s="12">
        <f t="shared" si="32"/>
        <v>0.92307692307692313</v>
      </c>
      <c r="L40" s="12">
        <f t="shared" si="32"/>
        <v>0.92307692307692313</v>
      </c>
      <c r="M40" s="12">
        <f t="shared" si="32"/>
        <v>0.92307692307692313</v>
      </c>
      <c r="N40" s="12">
        <f t="shared" si="32"/>
        <v>0.92307692307692313</v>
      </c>
      <c r="O40" s="12">
        <f t="shared" si="32"/>
        <v>0.92307692307692313</v>
      </c>
      <c r="P40" s="12">
        <f t="shared" si="32"/>
        <v>0.92307692307692313</v>
      </c>
      <c r="Q40" s="12">
        <f t="shared" si="32"/>
        <v>0.92307692307692313</v>
      </c>
    </row>
    <row r="41" spans="1:17" ht="14.4" x14ac:dyDescent="0.3"/>
    <row r="42" spans="1:17" ht="14.4" x14ac:dyDescent="0.3"/>
    <row r="43" spans="1:17" ht="14.4" x14ac:dyDescent="0.3"/>
    <row r="44" spans="1:17" ht="14.4" x14ac:dyDescent="0.3"/>
    <row r="47" spans="1:17" ht="14.4" x14ac:dyDescent="0.3"/>
    <row r="48" spans="1:17" ht="14.4" x14ac:dyDescent="0.3"/>
    <row r="49" spans="1:14" ht="14.4" x14ac:dyDescent="0.3">
      <c r="A49" t="s">
        <v>40</v>
      </c>
      <c r="F49" t="s">
        <v>41</v>
      </c>
      <c r="L49" t="s">
        <v>18</v>
      </c>
      <c r="M49" t="s">
        <v>42</v>
      </c>
    </row>
    <row r="50" spans="1:14" ht="14.4" x14ac:dyDescent="0.3">
      <c r="A50" t="s">
        <v>43</v>
      </c>
      <c r="F50" t="s">
        <v>44</v>
      </c>
      <c r="K50" t="s">
        <v>45</v>
      </c>
      <c r="L50" s="23">
        <v>0.40763888888888888</v>
      </c>
      <c r="M50" s="23">
        <v>0.41458333333333336</v>
      </c>
    </row>
    <row r="51" spans="1:14" ht="14.4" x14ac:dyDescent="0.3">
      <c r="A51" t="s">
        <v>46</v>
      </c>
      <c r="F51" t="s">
        <v>47</v>
      </c>
      <c r="K51" t="s">
        <v>12</v>
      </c>
      <c r="M51" s="23">
        <v>0.41875000000000001</v>
      </c>
      <c r="N51" s="23">
        <v>0.42569444444444443</v>
      </c>
    </row>
    <row r="52" spans="1:14" ht="15" customHeight="1" x14ac:dyDescent="0.3">
      <c r="A52" t="s">
        <v>48</v>
      </c>
      <c r="F52" t="s">
        <v>49</v>
      </c>
      <c r="K52" t="s">
        <v>50</v>
      </c>
      <c r="L52" s="23">
        <v>0.4284722222222222</v>
      </c>
      <c r="M52" s="23">
        <v>0.43541666666666667</v>
      </c>
    </row>
    <row r="53" spans="1:14" ht="15" customHeight="1" x14ac:dyDescent="0.3">
      <c r="A53" t="s">
        <v>51</v>
      </c>
      <c r="F53" t="s">
        <v>52</v>
      </c>
      <c r="K53" t="s">
        <v>53</v>
      </c>
      <c r="M53" s="23">
        <v>0.43958333333333333</v>
      </c>
      <c r="N53" s="23">
        <v>0.4465277777777778</v>
      </c>
    </row>
    <row r="54" spans="1:14" ht="15" customHeight="1" x14ac:dyDescent="0.3">
      <c r="A54" t="s">
        <v>54</v>
      </c>
    </row>
    <row r="55" spans="1:14" ht="15" customHeight="1" x14ac:dyDescent="0.3">
      <c r="A55" t="s">
        <v>55</v>
      </c>
    </row>
    <row r="56" spans="1:14" ht="15" customHeight="1" x14ac:dyDescent="0.3">
      <c r="A56" t="s">
        <v>56</v>
      </c>
    </row>
    <row r="57" spans="1:14" ht="15" customHeight="1" x14ac:dyDescent="0.3">
      <c r="A57" t="s">
        <v>57</v>
      </c>
    </row>
    <row r="58" spans="1:14" ht="15" customHeight="1" x14ac:dyDescent="0.3">
      <c r="A58" t="s">
        <v>58</v>
      </c>
    </row>
    <row r="59" spans="1:14" ht="15" customHeight="1" x14ac:dyDescent="0.3">
      <c r="A59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5B38-DC21-45ED-BB5F-D92A80B36E19}">
  <dimension ref="A1:T44"/>
  <sheetViews>
    <sheetView workbookViewId="0">
      <selection activeCell="F2" sqref="F2:Q40"/>
    </sheetView>
  </sheetViews>
  <sheetFormatPr defaultRowHeight="15" customHeight="1" x14ac:dyDescent="0.3"/>
  <cols>
    <col min="1" max="17" width="10.6640625" customWidth="1"/>
  </cols>
  <sheetData>
    <row r="1" spans="1:20" ht="14.4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ht="14.4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4.861111111111111E-4</v>
      </c>
      <c r="F2" s="22">
        <v>9.6990740740740735E-3</v>
      </c>
      <c r="G2" s="22">
        <v>9.6990740740740735E-3</v>
      </c>
      <c r="H2" s="22">
        <v>9.6990740740740735E-3</v>
      </c>
      <c r="I2" s="22">
        <v>9.6990740740740735E-3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9.5370370370370366E-3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ht="14.4" x14ac:dyDescent="0.3">
      <c r="A3" s="2">
        <v>1700</v>
      </c>
      <c r="B3" s="7" t="s">
        <v>6</v>
      </c>
      <c r="C3" s="25">
        <v>1.9212962962962964E-3</v>
      </c>
      <c r="D3" s="25">
        <v>2.6157407407407405E-3</v>
      </c>
      <c r="E3" s="3">
        <v>3.2870370370370371E-3</v>
      </c>
      <c r="F3" s="3">
        <v>6.1111111111111114E-3</v>
      </c>
      <c r="G3" s="3">
        <v>6.1111111111111114E-3</v>
      </c>
      <c r="H3" s="3">
        <v>6.1111111111111114E-3</v>
      </c>
      <c r="I3" s="29">
        <v>3.7268518518518519E-3</v>
      </c>
      <c r="J3" s="3">
        <v>6.1111111111111114E-3</v>
      </c>
      <c r="K3" s="3">
        <v>6.1111111111111114E-3</v>
      </c>
      <c r="L3" s="3">
        <v>6.1111111111111114E-3</v>
      </c>
      <c r="M3" s="3">
        <v>6.1111111111111114E-3</v>
      </c>
      <c r="N3" s="3">
        <v>6.1111111111111114E-3</v>
      </c>
      <c r="O3" s="3">
        <v>1.136574074074074E-2</v>
      </c>
      <c r="P3" s="3">
        <v>1.5509259259259259E-3</v>
      </c>
      <c r="Q3" s="3">
        <v>1.5509259259259259E-3</v>
      </c>
      <c r="R3" t="s">
        <v>7</v>
      </c>
    </row>
    <row r="4" spans="1:20" ht="14.4" x14ac:dyDescent="0.3">
      <c r="A4" s="2">
        <v>7000</v>
      </c>
      <c r="B4" s="7" t="s">
        <v>9</v>
      </c>
      <c r="C4" s="25">
        <v>1.736111111111111E-3</v>
      </c>
      <c r="D4" s="25">
        <v>2.4074074074074076E-3</v>
      </c>
      <c r="E4" s="3">
        <v>3.1018518518518517E-3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ht="14.4" x14ac:dyDescent="0.3">
      <c r="A5" s="2">
        <v>31200</v>
      </c>
      <c r="B5" s="7" t="s">
        <v>11</v>
      </c>
      <c r="C5" s="25">
        <v>2.8703703703703703E-3</v>
      </c>
      <c r="D5" s="25">
        <v>2.8703703703703703E-3</v>
      </c>
      <c r="E5" s="3">
        <v>2.9398148148148148E-3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ht="14.4" x14ac:dyDescent="0.3">
      <c r="A6" s="2">
        <v>7900</v>
      </c>
      <c r="B6" s="7" t="s">
        <v>13</v>
      </c>
      <c r="C6" s="25">
        <v>7.407407407407407E-4</v>
      </c>
      <c r="D6" s="25">
        <v>1.3657407407407407E-3</v>
      </c>
      <c r="E6" s="3">
        <v>2.0601851851851853E-3</v>
      </c>
      <c r="F6" s="3">
        <v>1.6203703703703703E-3</v>
      </c>
      <c r="G6" s="3">
        <v>1.6203703703703703E-3</v>
      </c>
      <c r="H6" s="3">
        <v>1.6203703703703703E-3</v>
      </c>
      <c r="I6" s="3">
        <v>1.6203703703703703E-3</v>
      </c>
      <c r="J6" s="3">
        <v>1.5972222222222223E-3</v>
      </c>
      <c r="K6" s="3">
        <v>1.6203703703703703E-3</v>
      </c>
      <c r="L6" s="3">
        <v>2.4305555555555556E-3</v>
      </c>
      <c r="M6" s="3">
        <v>3.1250000000000002E-3</v>
      </c>
      <c r="N6" s="3">
        <v>3.8194444444444443E-3</v>
      </c>
      <c r="O6" s="3">
        <v>0</v>
      </c>
      <c r="P6" s="3">
        <v>0</v>
      </c>
      <c r="Q6" s="3">
        <v>0</v>
      </c>
      <c r="R6" t="s">
        <v>14</v>
      </c>
    </row>
    <row r="7" spans="1:20" ht="14.4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ht="14.4" x14ac:dyDescent="0.3">
      <c r="A8" s="2">
        <v>3600</v>
      </c>
      <c r="B8" s="7" t="s">
        <v>16</v>
      </c>
      <c r="C8" s="25">
        <v>4.3518518518518515E-3</v>
      </c>
      <c r="D8" s="25">
        <v>5.0000000000000001E-3</v>
      </c>
      <c r="E8" s="3">
        <v>5.6944444444444447E-3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 ht="14.4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2">
        <v>2.3148148148148147E-5</v>
      </c>
      <c r="O9" s="22">
        <v>7.407407407407407E-4</v>
      </c>
      <c r="P9" s="22">
        <v>4.0972222222222226E-3</v>
      </c>
      <c r="Q9" s="22">
        <v>0</v>
      </c>
      <c r="R9" t="s">
        <v>19</v>
      </c>
    </row>
    <row r="10" spans="1:20" ht="14.4" x14ac:dyDescent="0.3">
      <c r="A10" s="4">
        <v>31200</v>
      </c>
      <c r="B10" s="8" t="s">
        <v>18</v>
      </c>
      <c r="C10" s="28">
        <v>3.2638888888888891E-3</v>
      </c>
      <c r="D10" s="28">
        <v>3.8888888888888888E-3</v>
      </c>
      <c r="E10" s="5">
        <v>4.5833333333333334E-3</v>
      </c>
      <c r="F10" s="5">
        <v>1.1574074074074075E-4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ht="14.4" x14ac:dyDescent="0.3">
      <c r="A11" s="2">
        <v>31200</v>
      </c>
      <c r="B11" s="7" t="s">
        <v>24</v>
      </c>
      <c r="C11" s="25">
        <v>1.8749999999999999E-3</v>
      </c>
      <c r="D11" s="25">
        <v>1.8749999999999999E-3</v>
      </c>
      <c r="E11" s="3">
        <v>1.9444444444444444E-3</v>
      </c>
      <c r="F11" s="3">
        <v>1.6203703703703703E-4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ht="14.4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 ht="14.4" x14ac:dyDescent="0.3">
      <c r="A13" s="9" t="s">
        <v>25</v>
      </c>
      <c r="B13" s="9"/>
      <c r="C13" s="10">
        <f t="shared" ref="C13:Q13" si="0">SUM(C3:C8)</f>
        <v>1.1620370370370371E-2</v>
      </c>
      <c r="D13" s="10">
        <f t="shared" si="0"/>
        <v>1.425925925925926E-2</v>
      </c>
      <c r="E13" s="10">
        <f t="shared" si="0"/>
        <v>1.7083333333333332E-2</v>
      </c>
      <c r="F13" s="10">
        <f t="shared" si="0"/>
        <v>8.6805555555555559E-3</v>
      </c>
      <c r="G13" s="10">
        <f t="shared" si="0"/>
        <v>8.6805555555555559E-3</v>
      </c>
      <c r="H13" s="10">
        <f t="shared" si="0"/>
        <v>8.6805555555555559E-3</v>
      </c>
      <c r="I13" s="10">
        <f t="shared" si="0"/>
        <v>6.2962962962962964E-3</v>
      </c>
      <c r="J13" s="10">
        <f t="shared" si="0"/>
        <v>8.6574074074074071E-3</v>
      </c>
      <c r="K13" s="10">
        <f t="shared" si="0"/>
        <v>8.6805555555555559E-3</v>
      </c>
      <c r="L13" s="10">
        <f t="shared" si="0"/>
        <v>9.4907407407407406E-3</v>
      </c>
      <c r="M13" s="10">
        <f t="shared" si="0"/>
        <v>1.0185185185185186E-2</v>
      </c>
      <c r="N13" s="10">
        <f t="shared" si="0"/>
        <v>1.087962962962963E-2</v>
      </c>
      <c r="O13" s="10">
        <f t="shared" si="0"/>
        <v>1.2314814814814815E-2</v>
      </c>
      <c r="P13" s="10">
        <f t="shared" si="0"/>
        <v>3.8657407407407403E-3</v>
      </c>
      <c r="Q13" s="10">
        <f t="shared" si="0"/>
        <v>3.8657407407407403E-3</v>
      </c>
    </row>
    <row r="15" spans="1:20" ht="14.4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ht="14.4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0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</row>
    <row r="17" spans="1:18" ht="14.4" x14ac:dyDescent="0.3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0</v>
      </c>
      <c r="E17" t="b">
        <f t="shared" si="5"/>
        <v>0</v>
      </c>
      <c r="F17" t="b">
        <f t="shared" ref="F17:O17" si="9">F4&lt;3/1440</f>
        <v>1</v>
      </c>
      <c r="G17" t="b">
        <f t="shared" si="9"/>
        <v>1</v>
      </c>
      <c r="H17" t="b">
        <f t="shared" si="9"/>
        <v>1</v>
      </c>
      <c r="I17" t="b">
        <f t="shared" si="9"/>
        <v>1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</row>
    <row r="18" spans="1:18" ht="14.4" x14ac:dyDescent="0.3">
      <c r="A18" s="2">
        <v>31200</v>
      </c>
      <c r="B18" s="2" t="s">
        <v>11</v>
      </c>
      <c r="C18" t="b">
        <f t="shared" ref="C18:D18" si="11">C5&lt;3/1440</f>
        <v>0</v>
      </c>
      <c r="D18" t="b">
        <f t="shared" si="11"/>
        <v>0</v>
      </c>
      <c r="E18" t="b">
        <f t="shared" si="5"/>
        <v>0</v>
      </c>
      <c r="F18" t="b">
        <f t="shared" ref="F18:O18" si="12">F5&lt;3/1440</f>
        <v>1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18" ht="14.4" x14ac:dyDescent="0.3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1</v>
      </c>
      <c r="H19" t="b">
        <f t="shared" si="15"/>
        <v>1</v>
      </c>
      <c r="I19" t="b">
        <f t="shared" si="15"/>
        <v>1</v>
      </c>
      <c r="J19" t="b">
        <f t="shared" si="15"/>
        <v>1</v>
      </c>
      <c r="K19" t="b">
        <f t="shared" si="15"/>
        <v>1</v>
      </c>
      <c r="L19" t="b">
        <f t="shared" si="15"/>
        <v>0</v>
      </c>
      <c r="M19" t="b">
        <f t="shared" si="15"/>
        <v>0</v>
      </c>
      <c r="N19" t="b">
        <f t="shared" si="15"/>
        <v>0</v>
      </c>
      <c r="O19" t="b">
        <f t="shared" si="15"/>
        <v>1</v>
      </c>
      <c r="P19" t="b">
        <f t="shared" ref="P19:Q19" si="16">P6&lt;3/1440</f>
        <v>1</v>
      </c>
      <c r="Q19" t="b">
        <f t="shared" si="16"/>
        <v>1</v>
      </c>
    </row>
    <row r="20" spans="1:18" ht="14.4" x14ac:dyDescent="0.3">
      <c r="A20" s="2">
        <v>31300</v>
      </c>
      <c r="B20" s="2" t="s">
        <v>3</v>
      </c>
      <c r="C20" t="b">
        <f t="shared" ref="C20:D21" si="17">C7&lt;3/1440</f>
        <v>1</v>
      </c>
      <c r="D20" t="b">
        <f t="shared" si="17"/>
        <v>1</v>
      </c>
      <c r="E20" t="b">
        <f t="shared" si="5"/>
        <v>1</v>
      </c>
      <c r="F20" t="b">
        <f t="shared" ref="F20:O21" si="18">F7&lt;3/1440</f>
        <v>1</v>
      </c>
      <c r="G20" t="b">
        <f t="shared" si="18"/>
        <v>1</v>
      </c>
      <c r="H20" t="b">
        <f t="shared" si="18"/>
        <v>1</v>
      </c>
      <c r="I20" t="b">
        <f t="shared" si="18"/>
        <v>1</v>
      </c>
      <c r="J20" t="b">
        <f t="shared" si="18"/>
        <v>1</v>
      </c>
      <c r="K20" t="b">
        <f t="shared" si="18"/>
        <v>1</v>
      </c>
      <c r="L20" t="b">
        <f t="shared" si="18"/>
        <v>1</v>
      </c>
      <c r="M20" t="b">
        <f t="shared" si="18"/>
        <v>1</v>
      </c>
      <c r="N20" t="b">
        <f t="shared" si="18"/>
        <v>1</v>
      </c>
      <c r="O20" t="b">
        <f t="shared" si="18"/>
        <v>1</v>
      </c>
      <c r="P20" t="b">
        <f t="shared" ref="P20:Q21" si="19">P7&lt;3/1440</f>
        <v>1</v>
      </c>
      <c r="Q20" t="b">
        <f t="shared" si="19"/>
        <v>1</v>
      </c>
    </row>
    <row r="21" spans="1:18" ht="14.4" x14ac:dyDescent="0.3">
      <c r="A21" s="2">
        <v>3600</v>
      </c>
      <c r="B21" s="2" t="s">
        <v>16</v>
      </c>
      <c r="C21" t="b">
        <f t="shared" si="17"/>
        <v>0</v>
      </c>
      <c r="D21" t="b">
        <f t="shared" si="17"/>
        <v>0</v>
      </c>
      <c r="E21" t="b">
        <f t="shared" si="5"/>
        <v>0</v>
      </c>
      <c r="F21" t="b">
        <f t="shared" si="18"/>
        <v>1</v>
      </c>
      <c r="G21" t="b">
        <f t="shared" si="18"/>
        <v>1</v>
      </c>
      <c r="H21" t="b">
        <f t="shared" si="18"/>
        <v>1</v>
      </c>
      <c r="I21" t="b">
        <f t="shared" si="18"/>
        <v>1</v>
      </c>
      <c r="J21" t="b">
        <f t="shared" si="18"/>
        <v>1</v>
      </c>
      <c r="K21" t="b">
        <f t="shared" si="18"/>
        <v>1</v>
      </c>
      <c r="L21" t="b">
        <f t="shared" si="18"/>
        <v>1</v>
      </c>
      <c r="M21" t="b">
        <f t="shared" si="18"/>
        <v>1</v>
      </c>
      <c r="N21" t="b">
        <f t="shared" si="18"/>
        <v>1</v>
      </c>
      <c r="O21" t="b">
        <f t="shared" si="18"/>
        <v>1</v>
      </c>
      <c r="P21" t="b">
        <f t="shared" si="19"/>
        <v>1</v>
      </c>
      <c r="Q21" t="b">
        <f t="shared" si="19"/>
        <v>1</v>
      </c>
    </row>
    <row r="22" spans="1:18" ht="14.4" x14ac:dyDescent="0.3">
      <c r="A22" s="2">
        <v>20350</v>
      </c>
      <c r="B22" s="2" t="s">
        <v>18</v>
      </c>
      <c r="C22" t="b">
        <f t="shared" ref="C22:Q22" si="20">C9&lt;3/1440</f>
        <v>1</v>
      </c>
      <c r="D22" t="b">
        <f t="shared" si="20"/>
        <v>1</v>
      </c>
      <c r="E22" t="b">
        <f t="shared" si="20"/>
        <v>1</v>
      </c>
      <c r="F22" t="b">
        <f t="shared" si="20"/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si="20"/>
        <v>0</v>
      </c>
      <c r="Q22" t="b">
        <f t="shared" si="20"/>
        <v>1</v>
      </c>
    </row>
    <row r="23" spans="1:18" ht="14.4" x14ac:dyDescent="0.3">
      <c r="A23" s="2">
        <v>31200</v>
      </c>
      <c r="B23" s="2" t="s">
        <v>18</v>
      </c>
      <c r="C23" t="b">
        <f t="shared" ref="C23:Q23" si="21">C10&lt;3/1440</f>
        <v>0</v>
      </c>
      <c r="D23" t="b">
        <f t="shared" si="21"/>
        <v>0</v>
      </c>
      <c r="E23" t="b">
        <f t="shared" si="21"/>
        <v>0</v>
      </c>
      <c r="F23" t="b">
        <f t="shared" si="21"/>
        <v>1</v>
      </c>
      <c r="G23" t="b">
        <f t="shared" si="21"/>
        <v>1</v>
      </c>
      <c r="H23" t="b">
        <f t="shared" si="21"/>
        <v>1</v>
      </c>
      <c r="I23" t="b">
        <f t="shared" si="21"/>
        <v>1</v>
      </c>
      <c r="J23" t="b">
        <f t="shared" si="21"/>
        <v>1</v>
      </c>
      <c r="K23" t="b">
        <f t="shared" si="21"/>
        <v>1</v>
      </c>
      <c r="L23" t="b">
        <f t="shared" si="21"/>
        <v>1</v>
      </c>
      <c r="M23" t="b">
        <f t="shared" si="21"/>
        <v>1</v>
      </c>
      <c r="N23" t="b">
        <f t="shared" si="21"/>
        <v>1</v>
      </c>
      <c r="O23" t="b">
        <f t="shared" si="21"/>
        <v>1</v>
      </c>
      <c r="P23" t="b">
        <f t="shared" si="21"/>
        <v>1</v>
      </c>
      <c r="Q23" t="b">
        <f t="shared" si="21"/>
        <v>1</v>
      </c>
    </row>
    <row r="24" spans="1:18" ht="14.4" x14ac:dyDescent="0.3">
      <c r="A24" s="2">
        <v>31200</v>
      </c>
      <c r="B24" s="2" t="s">
        <v>24</v>
      </c>
      <c r="C24" t="b">
        <f>C11&lt;3/1440</f>
        <v>1</v>
      </c>
      <c r="D24" t="b">
        <f t="shared" ref="D24:Q24" si="22">D11&lt;3/1440</f>
        <v>1</v>
      </c>
      <c r="E24" t="b">
        <f t="shared" si="22"/>
        <v>1</v>
      </c>
      <c r="F24" t="b">
        <f t="shared" si="22"/>
        <v>1</v>
      </c>
      <c r="G24" t="b">
        <f t="shared" si="22"/>
        <v>1</v>
      </c>
      <c r="H24" t="b">
        <f t="shared" si="22"/>
        <v>1</v>
      </c>
      <c r="I24" t="b">
        <f t="shared" si="22"/>
        <v>1</v>
      </c>
      <c r="J24" t="b">
        <f t="shared" si="22"/>
        <v>1</v>
      </c>
      <c r="K24" t="b">
        <f t="shared" si="22"/>
        <v>1</v>
      </c>
      <c r="L24" t="b">
        <f t="shared" si="22"/>
        <v>1</v>
      </c>
      <c r="M24" t="b">
        <f t="shared" si="22"/>
        <v>1</v>
      </c>
      <c r="N24" t="b">
        <f t="shared" si="22"/>
        <v>1</v>
      </c>
      <c r="O24" t="b">
        <f t="shared" si="22"/>
        <v>1</v>
      </c>
      <c r="P24" t="b">
        <f t="shared" si="22"/>
        <v>1</v>
      </c>
      <c r="Q24" t="b">
        <f t="shared" si="22"/>
        <v>1</v>
      </c>
    </row>
    <row r="25" spans="1:18" ht="14.4" x14ac:dyDescent="0.3">
      <c r="A25" s="2">
        <v>7900</v>
      </c>
      <c r="B25" s="2" t="s">
        <v>16</v>
      </c>
      <c r="C25" t="b">
        <f t="shared" ref="C25:D25" si="23">C12&lt;3/1440</f>
        <v>1</v>
      </c>
      <c r="D25" t="b">
        <f t="shared" si="23"/>
        <v>1</v>
      </c>
      <c r="E25" t="b">
        <f t="shared" ref="E25:O25" si="24">E12&lt;3/1440</f>
        <v>1</v>
      </c>
      <c r="F25" t="b">
        <f t="shared" si="24"/>
        <v>1</v>
      </c>
      <c r="G25" t="b">
        <f t="shared" si="24"/>
        <v>1</v>
      </c>
      <c r="H25" t="b">
        <f t="shared" si="24"/>
        <v>1</v>
      </c>
      <c r="I25" t="b">
        <f t="shared" si="24"/>
        <v>1</v>
      </c>
      <c r="J25" t="b">
        <f t="shared" si="24"/>
        <v>1</v>
      </c>
      <c r="K25" t="b">
        <f t="shared" si="24"/>
        <v>1</v>
      </c>
      <c r="L25" t="b">
        <f t="shared" si="24"/>
        <v>1</v>
      </c>
      <c r="M25" t="b">
        <f t="shared" si="24"/>
        <v>1</v>
      </c>
      <c r="N25" t="b">
        <f t="shared" si="24"/>
        <v>1</v>
      </c>
      <c r="O25" t="b">
        <f t="shared" si="24"/>
        <v>1</v>
      </c>
      <c r="P25" t="b">
        <f t="shared" ref="P25:Q25" si="25">P12&lt;3/1440</f>
        <v>1</v>
      </c>
      <c r="Q25" t="b">
        <f t="shared" si="25"/>
        <v>1</v>
      </c>
    </row>
    <row r="26" spans="1:18" ht="14.4" x14ac:dyDescent="0.3">
      <c r="A26" t="s">
        <v>31</v>
      </c>
      <c r="C26" s="12">
        <f>COUNTIF(C16:C21,TRUE) / 6</f>
        <v>0.66666666666666663</v>
      </c>
      <c r="D26" s="12">
        <f t="shared" ref="D26:Q26" si="26">COUNTIF(D16:D21,TRUE) / 6</f>
        <v>0.33333333333333331</v>
      </c>
      <c r="E26" s="12">
        <f t="shared" si="26"/>
        <v>0.33333333333333331</v>
      </c>
      <c r="F26" s="12">
        <f t="shared" si="26"/>
        <v>0.83333333333333337</v>
      </c>
      <c r="G26" s="12">
        <f t="shared" si="26"/>
        <v>0.83333333333333337</v>
      </c>
      <c r="H26" s="12">
        <f t="shared" si="26"/>
        <v>0.83333333333333337</v>
      </c>
      <c r="I26" s="12">
        <f t="shared" si="26"/>
        <v>0.83333333333333337</v>
      </c>
      <c r="J26" s="12">
        <f t="shared" si="26"/>
        <v>0.83333333333333337</v>
      </c>
      <c r="K26" s="12">
        <f t="shared" si="26"/>
        <v>0.83333333333333337</v>
      </c>
      <c r="L26" s="12">
        <f t="shared" si="26"/>
        <v>0.66666666666666663</v>
      </c>
      <c r="M26" s="12">
        <f t="shared" si="26"/>
        <v>0.66666666666666663</v>
      </c>
      <c r="N26" s="12">
        <f t="shared" si="26"/>
        <v>0.66666666666666663</v>
      </c>
      <c r="O26" s="12">
        <f t="shared" si="26"/>
        <v>0.83333333333333337</v>
      </c>
      <c r="P26" s="12">
        <f t="shared" si="26"/>
        <v>1</v>
      </c>
      <c r="Q26" s="12">
        <f t="shared" si="26"/>
        <v>1</v>
      </c>
    </row>
    <row r="28" spans="1:18" ht="14.4" x14ac:dyDescent="0.3">
      <c r="A28" t="s">
        <v>33</v>
      </c>
      <c r="C28" s="3">
        <f t="shared" ref="C28:D28" si="27">C2-C1</f>
        <v>-2.0833333333333333E-3</v>
      </c>
      <c r="D28" s="3">
        <f t="shared" si="27"/>
        <v>-2.7777777777777779E-3</v>
      </c>
      <c r="E28" s="3">
        <f t="shared" ref="E28:O28" si="28">E2-E1</f>
        <v>-2.9861111111111108E-3</v>
      </c>
      <c r="F28" s="3">
        <f t="shared" si="28"/>
        <v>5.5324074074074069E-3</v>
      </c>
      <c r="G28" s="3">
        <f t="shared" si="28"/>
        <v>4.8379629629629632E-3</v>
      </c>
      <c r="H28" s="3">
        <f t="shared" si="28"/>
        <v>4.1435185185185238E-3</v>
      </c>
      <c r="I28" s="3">
        <f t="shared" si="28"/>
        <v>3.4490740740740732E-3</v>
      </c>
      <c r="J28" s="3">
        <f t="shared" si="28"/>
        <v>2.7546296296296338E-3</v>
      </c>
      <c r="K28" s="3">
        <f t="shared" si="28"/>
        <v>2.0601851851851831E-3</v>
      </c>
      <c r="L28" s="3">
        <f t="shared" si="28"/>
        <v>1.3657407407407438E-3</v>
      </c>
      <c r="M28" s="3">
        <f t="shared" si="28"/>
        <v>6.712962962962931E-4</v>
      </c>
      <c r="N28" s="3">
        <f t="shared" si="28"/>
        <v>-2.3148148148147141E-5</v>
      </c>
      <c r="O28" s="3">
        <f t="shared" si="28"/>
        <v>-8.7962962962966421E-4</v>
      </c>
      <c r="P28" s="3">
        <f t="shared" ref="P28:Q28" si="29">P2-P1</f>
        <v>3.7037037037037056E-3</v>
      </c>
      <c r="Q28" s="3">
        <f t="shared" si="29"/>
        <v>2.3148148148148182E-4</v>
      </c>
      <c r="R28" t="s">
        <v>61</v>
      </c>
    </row>
    <row r="29" spans="1:18" ht="14.4" x14ac:dyDescent="0.3">
      <c r="A29" t="s">
        <v>33</v>
      </c>
      <c r="C29" s="3">
        <f t="shared" ref="C29:D29" si="30">C1-C2</f>
        <v>2.0833333333333333E-3</v>
      </c>
      <c r="D29" s="3">
        <f t="shared" si="30"/>
        <v>2.7777777777777779E-3</v>
      </c>
      <c r="E29" s="3">
        <f t="shared" ref="E29:O29" si="31">E1-E2</f>
        <v>2.9861111111111108E-3</v>
      </c>
      <c r="F29" s="3">
        <f t="shared" si="31"/>
        <v>-5.5324074074074069E-3</v>
      </c>
      <c r="G29" s="3">
        <f t="shared" si="31"/>
        <v>-4.8379629629629632E-3</v>
      </c>
      <c r="H29" s="3">
        <f t="shared" si="31"/>
        <v>-4.1435185185185238E-3</v>
      </c>
      <c r="I29" s="3">
        <f t="shared" si="31"/>
        <v>-3.4490740740740732E-3</v>
      </c>
      <c r="J29" s="3">
        <f t="shared" si="31"/>
        <v>-2.7546296296296338E-3</v>
      </c>
      <c r="K29" s="3">
        <f t="shared" si="31"/>
        <v>-2.0601851851851831E-3</v>
      </c>
      <c r="L29" s="3">
        <f t="shared" si="31"/>
        <v>-1.3657407407407438E-3</v>
      </c>
      <c r="M29" s="3">
        <f t="shared" si="31"/>
        <v>-6.712962962962931E-4</v>
      </c>
      <c r="N29" s="3">
        <f t="shared" si="31"/>
        <v>2.3148148148147141E-5</v>
      </c>
      <c r="O29" s="3">
        <f t="shared" si="31"/>
        <v>8.7962962962966421E-4</v>
      </c>
      <c r="P29" s="3">
        <f t="shared" ref="P29:Q29" si="32">P1-P2</f>
        <v>-3.7037037037037056E-3</v>
      </c>
      <c r="Q29" s="3">
        <f t="shared" si="32"/>
        <v>-2.3148148148148182E-4</v>
      </c>
      <c r="R29" t="s">
        <v>62</v>
      </c>
    </row>
    <row r="31" spans="1:18" ht="15" customHeight="1" x14ac:dyDescent="0.3">
      <c r="A31" t="s">
        <v>38</v>
      </c>
      <c r="C31" s="12">
        <f t="shared" ref="C31:Q31" si="33">C40</f>
        <v>0.82051282051282048</v>
      </c>
      <c r="D31" s="12">
        <f t="shared" si="33"/>
        <v>0.79487179487179493</v>
      </c>
      <c r="E31" s="12">
        <f t="shared" si="33"/>
        <v>0.74358974358974361</v>
      </c>
      <c r="F31" s="12">
        <f t="shared" si="33"/>
        <v>0.97435897435897434</v>
      </c>
      <c r="G31" s="12">
        <f t="shared" si="33"/>
        <v>0.97435897435897434</v>
      </c>
      <c r="H31" s="12">
        <f t="shared" si="33"/>
        <v>0.97435897435897434</v>
      </c>
      <c r="I31" s="12">
        <f t="shared" si="33"/>
        <v>0.97435897435897434</v>
      </c>
      <c r="J31" s="12">
        <f t="shared" si="33"/>
        <v>0.97435897435897434</v>
      </c>
      <c r="K31" s="12">
        <f t="shared" si="33"/>
        <v>0.97435897435897434</v>
      </c>
      <c r="L31" s="12">
        <f t="shared" si="33"/>
        <v>0.97435897435897434</v>
      </c>
      <c r="M31" s="12">
        <f t="shared" si="33"/>
        <v>0.97435897435897434</v>
      </c>
      <c r="N31" s="12">
        <f t="shared" si="33"/>
        <v>0.97435897435897434</v>
      </c>
      <c r="O31" s="12">
        <f t="shared" si="33"/>
        <v>0.97435897435897434</v>
      </c>
      <c r="P31" s="12">
        <f t="shared" si="33"/>
        <v>0.97435897435897434</v>
      </c>
      <c r="Q31" s="12">
        <f t="shared" si="33"/>
        <v>0.97435897435897434</v>
      </c>
    </row>
    <row r="34" spans="1:17" ht="15" customHeight="1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ht="15" customHeight="1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ht="15" customHeight="1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ht="15" customHeight="1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ht="15" customHeight="1" x14ac:dyDescent="0.3">
      <c r="A38">
        <v>3600</v>
      </c>
      <c r="B38" t="s">
        <v>16</v>
      </c>
      <c r="C38">
        <v>5</v>
      </c>
      <c r="D38">
        <v>6</v>
      </c>
      <c r="E38">
        <v>8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ht="15" customHeight="1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ht="15" customHeight="1" x14ac:dyDescent="0.3">
      <c r="C40" s="12">
        <f>1-SUM(C34:C39)/39</f>
        <v>0.82051282051282048</v>
      </c>
      <c r="D40" s="12">
        <f t="shared" ref="D40:Q40" si="34">1-SUM(D34:D39)/39</f>
        <v>0.79487179487179493</v>
      </c>
      <c r="E40" s="12">
        <f t="shared" si="34"/>
        <v>0.74358974358974361</v>
      </c>
      <c r="F40" s="12">
        <f t="shared" si="34"/>
        <v>0.97435897435897434</v>
      </c>
      <c r="G40" s="12">
        <f t="shared" si="34"/>
        <v>0.97435897435897434</v>
      </c>
      <c r="H40" s="12">
        <f t="shared" si="34"/>
        <v>0.97435897435897434</v>
      </c>
      <c r="I40" s="12">
        <f t="shared" si="34"/>
        <v>0.97435897435897434</v>
      </c>
      <c r="J40" s="12">
        <f t="shared" si="34"/>
        <v>0.97435897435897434</v>
      </c>
      <c r="K40" s="12">
        <f t="shared" si="34"/>
        <v>0.97435897435897434</v>
      </c>
      <c r="L40" s="12">
        <f t="shared" si="34"/>
        <v>0.97435897435897434</v>
      </c>
      <c r="M40" s="12">
        <f t="shared" si="34"/>
        <v>0.97435897435897434</v>
      </c>
      <c r="N40" s="12">
        <f t="shared" si="34"/>
        <v>0.97435897435897434</v>
      </c>
      <c r="O40" s="12">
        <f t="shared" si="34"/>
        <v>0.97435897435897434</v>
      </c>
      <c r="P40" s="12">
        <f t="shared" si="34"/>
        <v>0.97435897435897434</v>
      </c>
      <c r="Q40" s="12">
        <f t="shared" si="34"/>
        <v>0.97435897435897434</v>
      </c>
    </row>
    <row r="43" spans="1:17" ht="15" customHeight="1" x14ac:dyDescent="0.3">
      <c r="F43" s="23"/>
    </row>
    <row r="44" spans="1:17" ht="15" customHeight="1" x14ac:dyDescent="0.3">
      <c r="F44" s="2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BA0A7-F5C3-4E61-9B6B-F8267A654FC1}">
  <dimension ref="A1:T40"/>
  <sheetViews>
    <sheetView topLeftCell="A11" workbookViewId="0">
      <selection activeCell="D28" sqref="D28"/>
    </sheetView>
  </sheetViews>
  <sheetFormatPr defaultRowHeight="15" customHeight="1" x14ac:dyDescent="0.3"/>
  <cols>
    <col min="1" max="17" width="10.6640625" customWidth="1"/>
    <col min="18" max="18" width="9.6640625" customWidth="1"/>
  </cols>
  <sheetData>
    <row r="1" spans="1:20" ht="14.4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ht="14.4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4.6296296296296298E-4</v>
      </c>
      <c r="F2" s="22">
        <v>1.6203703703703703E-4</v>
      </c>
      <c r="G2" s="22">
        <v>8.564814814814815E-4</v>
      </c>
      <c r="H2" s="22">
        <v>1.9675925925925924E-3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ht="14.4" x14ac:dyDescent="0.3">
      <c r="A3" s="2">
        <v>1700</v>
      </c>
      <c r="B3" s="7" t="s">
        <v>6</v>
      </c>
      <c r="C3" s="25">
        <v>8.564814814814815E-4</v>
      </c>
      <c r="D3" s="25">
        <v>1.5740740740740741E-3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3.6805555555555554E-3</v>
      </c>
      <c r="K3" s="3">
        <v>6.1111111111111114E-3</v>
      </c>
      <c r="L3" s="3">
        <v>6.1111111111111114E-3</v>
      </c>
      <c r="M3" s="3">
        <v>1.136574074074074E-2</v>
      </c>
      <c r="N3" s="3">
        <v>6.1111111111111114E-3</v>
      </c>
      <c r="O3" s="3">
        <v>3.7268518518518519E-3</v>
      </c>
      <c r="P3" s="3">
        <v>1.5509259259259259E-3</v>
      </c>
      <c r="Q3" s="3">
        <v>1.5509259259259259E-3</v>
      </c>
      <c r="R3" t="s">
        <v>7</v>
      </c>
    </row>
    <row r="4" spans="1:20" ht="14.4" x14ac:dyDescent="0.3">
      <c r="A4" s="2">
        <v>7000</v>
      </c>
      <c r="B4" s="7" t="s">
        <v>9</v>
      </c>
      <c r="C4" s="25">
        <v>6.9444444444444447E-4</v>
      </c>
      <c r="D4" s="25">
        <v>1.3888888888888889E-3</v>
      </c>
      <c r="E4" s="3">
        <v>2.0833333333333333E-3</v>
      </c>
      <c r="F4" s="3">
        <v>2.7777777777777779E-3</v>
      </c>
      <c r="G4" s="3">
        <v>3.472222222222222E-3</v>
      </c>
      <c r="H4" s="3">
        <v>4.1666666666666666E-3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ht="14.4" x14ac:dyDescent="0.3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3.3333333333333335E-3</v>
      </c>
      <c r="H5" s="3">
        <v>4.0277777777777777E-3</v>
      </c>
      <c r="I5" s="3">
        <v>4.7222222222222223E-3</v>
      </c>
      <c r="J5" s="3">
        <v>1.0162037037037037E-2</v>
      </c>
      <c r="K5" s="3">
        <v>1.0162037037037037E-2</v>
      </c>
      <c r="L5" s="3">
        <v>1.9675925925925927E-2</v>
      </c>
      <c r="M5" s="3">
        <v>1.9675925925925927E-2</v>
      </c>
      <c r="N5" s="3">
        <v>1.9675925925925927E-2</v>
      </c>
      <c r="O5" s="3">
        <v>1.9675925925925927E-2</v>
      </c>
      <c r="P5" s="3">
        <v>1.9675925925925927E-2</v>
      </c>
      <c r="Q5" s="3">
        <v>1.9675925925925927E-2</v>
      </c>
      <c r="R5" t="s">
        <v>12</v>
      </c>
    </row>
    <row r="6" spans="1:20" ht="14.4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2.4537037037037036E-3</v>
      </c>
      <c r="H6" s="3">
        <v>3.1481481481481482E-3</v>
      </c>
      <c r="I6" s="3">
        <v>3.8425925925925928E-3</v>
      </c>
      <c r="J6" s="3">
        <v>4.5370370370370373E-3</v>
      </c>
      <c r="K6" s="3">
        <v>5.2314814814814811E-3</v>
      </c>
      <c r="L6" s="3">
        <v>5.208333333333333E-3</v>
      </c>
      <c r="M6" s="3">
        <v>1.1435185185185185E-2</v>
      </c>
      <c r="N6" s="3">
        <v>2.8009259259259259E-3</v>
      </c>
      <c r="O6" s="3">
        <v>0</v>
      </c>
      <c r="P6" s="3">
        <v>0</v>
      </c>
      <c r="Q6" s="3">
        <v>0</v>
      </c>
      <c r="R6" t="s">
        <v>14</v>
      </c>
    </row>
    <row r="7" spans="1:20" ht="14.4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9.2592592592592596E-4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ht="14.4" x14ac:dyDescent="0.3">
      <c r="A8" s="2">
        <v>3600</v>
      </c>
      <c r="B8" s="7" t="s">
        <v>16</v>
      </c>
      <c r="C8" s="25">
        <v>2.3379629629629631E-3</v>
      </c>
      <c r="D8" s="25">
        <v>3.9814814814814817E-3</v>
      </c>
      <c r="E8" s="3">
        <v>4.6759259259259263E-3</v>
      </c>
      <c r="F8" s="3">
        <v>5.37037037037037E-3</v>
      </c>
      <c r="G8" s="3">
        <v>6.0648148148148145E-3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 ht="14.4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0" ht="14.4" x14ac:dyDescent="0.3">
      <c r="A10" s="4">
        <v>31200</v>
      </c>
      <c r="B10" s="8" t="s">
        <v>18</v>
      </c>
      <c r="C10" s="28">
        <v>2.1990740740740742E-3</v>
      </c>
      <c r="D10" s="28">
        <v>2.8935185185185184E-3</v>
      </c>
      <c r="E10" s="5">
        <v>3.5879629629629629E-3</v>
      </c>
      <c r="F10" s="5">
        <v>4.2824074074074075E-3</v>
      </c>
      <c r="G10" s="5">
        <v>4.9768518518518521E-3</v>
      </c>
      <c r="H10" s="5">
        <v>5.6712962962962967E-3</v>
      </c>
      <c r="I10" s="5">
        <v>6.3657407407407404E-3</v>
      </c>
      <c r="J10" s="5">
        <v>7.060185185185185E-3</v>
      </c>
      <c r="K10" s="5">
        <v>7.7546296296296295E-3</v>
      </c>
      <c r="L10" s="5">
        <v>1.6041666666666666E-2</v>
      </c>
      <c r="M10" s="5">
        <v>1.3703703703703704E-2</v>
      </c>
      <c r="N10" s="5">
        <v>1.5069444444444444E-2</v>
      </c>
      <c r="O10" s="5">
        <v>1.5069444444444444E-2</v>
      </c>
      <c r="P10" s="3">
        <v>1.6203703703703703E-2</v>
      </c>
      <c r="Q10" s="3">
        <v>1.7476851851851851E-2</v>
      </c>
    </row>
    <row r="11" spans="1:20" ht="14.4" x14ac:dyDescent="0.3">
      <c r="A11" s="2">
        <v>31200</v>
      </c>
      <c r="B11" s="7" t="s">
        <v>24</v>
      </c>
      <c r="C11" s="25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2.3379629629629631E-3</v>
      </c>
      <c r="H11" s="3">
        <v>3.0324074074074073E-3</v>
      </c>
      <c r="I11" s="3">
        <v>8.1944444444444452E-3</v>
      </c>
      <c r="J11" s="3">
        <v>9.1666666666666667E-3</v>
      </c>
      <c r="K11" s="3">
        <v>9.1666666666666667E-3</v>
      </c>
      <c r="L11" s="3">
        <v>1.9259259259259261E-2</v>
      </c>
      <c r="M11" s="3">
        <v>1.9259259259259261E-2</v>
      </c>
      <c r="N11" s="3">
        <v>1.9259259259259261E-2</v>
      </c>
      <c r="O11" s="3">
        <v>1.9259259259259261E-2</v>
      </c>
      <c r="P11" s="3">
        <v>1.9259259259259261E-2</v>
      </c>
      <c r="Q11" s="3">
        <v>1.9259259259259261E-2</v>
      </c>
    </row>
    <row r="12" spans="1:20" ht="14.4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2.3148148148148147E-5</v>
      </c>
      <c r="J12" s="3">
        <v>7.1759259259259259E-4</v>
      </c>
      <c r="K12" s="3">
        <v>1.4120370370370369E-3</v>
      </c>
      <c r="L12" s="3">
        <v>1.3888888888888889E-3</v>
      </c>
      <c r="M12" s="3">
        <v>7.6157407407407406E-3</v>
      </c>
      <c r="N12" s="3">
        <v>0</v>
      </c>
      <c r="O12" s="3">
        <v>0</v>
      </c>
      <c r="P12" s="3">
        <v>0</v>
      </c>
      <c r="Q12" s="3">
        <v>0</v>
      </c>
    </row>
    <row r="13" spans="1:20" ht="14.4" x14ac:dyDescent="0.3">
      <c r="A13" s="9" t="s">
        <v>25</v>
      </c>
      <c r="B13" s="9"/>
      <c r="C13" s="10">
        <f t="shared" ref="C13:Q13" si="0">SUM(C3:C8)</f>
        <v>4.4444444444444453E-3</v>
      </c>
      <c r="D13" s="10">
        <f t="shared" si="0"/>
        <v>8.5648148148148168E-3</v>
      </c>
      <c r="E13" s="10">
        <f t="shared" si="0"/>
        <v>1.2962962962962964E-2</v>
      </c>
      <c r="F13" s="10">
        <f t="shared" si="0"/>
        <v>1.5740740740740739E-2</v>
      </c>
      <c r="G13" s="10">
        <f t="shared" si="0"/>
        <v>2.6689814814814816E-2</v>
      </c>
      <c r="H13" s="10">
        <f t="shared" si="0"/>
        <v>2.4583333333333339E-2</v>
      </c>
      <c r="I13" s="10">
        <f t="shared" si="0"/>
        <v>2.6944444444444444E-2</v>
      </c>
      <c r="J13" s="10">
        <f t="shared" si="0"/>
        <v>1.9328703703703702E-2</v>
      </c>
      <c r="K13" s="10">
        <f t="shared" si="0"/>
        <v>2.2453703703703705E-2</v>
      </c>
      <c r="L13" s="10">
        <f t="shared" si="0"/>
        <v>3.1944444444444442E-2</v>
      </c>
      <c r="M13" s="10">
        <f t="shared" si="0"/>
        <v>4.342592592592593E-2</v>
      </c>
      <c r="N13" s="10">
        <f t="shared" si="0"/>
        <v>2.9537037037037039E-2</v>
      </c>
      <c r="O13" s="10">
        <f t="shared" si="0"/>
        <v>2.4351851851851854E-2</v>
      </c>
      <c r="P13" s="10">
        <f t="shared" si="0"/>
        <v>2.3541666666666669E-2</v>
      </c>
      <c r="Q13" s="10">
        <f t="shared" si="0"/>
        <v>2.3541666666666669E-2</v>
      </c>
    </row>
    <row r="14" spans="1:20" ht="14.4" x14ac:dyDescent="0.3"/>
    <row r="15" spans="1:20" ht="14.4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ht="14.4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O16" si="5">E3&lt;3/1440</f>
        <v>0</v>
      </c>
      <c r="F16" t="b">
        <f t="shared" si="5"/>
        <v>0</v>
      </c>
      <c r="G16" t="b">
        <f t="shared" si="5"/>
        <v>0</v>
      </c>
      <c r="H16" t="b">
        <f t="shared" si="5"/>
        <v>0</v>
      </c>
      <c r="I16" t="b">
        <f t="shared" si="5"/>
        <v>0</v>
      </c>
      <c r="J16" t="b">
        <f t="shared" si="5"/>
        <v>0</v>
      </c>
      <c r="K16" t="b">
        <f t="shared" si="5"/>
        <v>0</v>
      </c>
      <c r="L16" t="b">
        <f t="shared" si="5"/>
        <v>0</v>
      </c>
      <c r="M16" t="b">
        <f t="shared" si="5"/>
        <v>0</v>
      </c>
      <c r="N16" t="b">
        <f t="shared" si="5"/>
        <v>0</v>
      </c>
      <c r="O16" t="b">
        <f t="shared" si="5"/>
        <v>0</v>
      </c>
      <c r="P16" t="b">
        <f t="shared" ref="P16:Q16" si="6">P3&lt;3/1440</f>
        <v>1</v>
      </c>
      <c r="Q16" t="b">
        <f t="shared" si="6"/>
        <v>1</v>
      </c>
    </row>
    <row r="17" spans="1:18" ht="14.4" x14ac:dyDescent="0.3">
      <c r="A17" s="2">
        <v>7000</v>
      </c>
      <c r="B17" s="2" t="s">
        <v>9</v>
      </c>
      <c r="C17" t="b">
        <f t="shared" ref="C17:D17" si="7">C4&lt;3/1440</f>
        <v>1</v>
      </c>
      <c r="D17" t="b">
        <f t="shared" si="7"/>
        <v>1</v>
      </c>
      <c r="E17" t="b">
        <f t="shared" ref="E17:O17" si="8">E4&lt;3/1440</f>
        <v>0</v>
      </c>
      <c r="F17" t="b">
        <f t="shared" si="8"/>
        <v>0</v>
      </c>
      <c r="G17" t="b">
        <f t="shared" si="8"/>
        <v>0</v>
      </c>
      <c r="H17" t="b">
        <f t="shared" si="8"/>
        <v>0</v>
      </c>
      <c r="I17" t="b">
        <f t="shared" si="8"/>
        <v>0</v>
      </c>
      <c r="J17" t="b">
        <f t="shared" si="8"/>
        <v>1</v>
      </c>
      <c r="K17" t="b">
        <f t="shared" si="8"/>
        <v>1</v>
      </c>
      <c r="L17" t="b">
        <f t="shared" si="8"/>
        <v>1</v>
      </c>
      <c r="M17" t="b">
        <f t="shared" si="8"/>
        <v>1</v>
      </c>
      <c r="N17" t="b">
        <f t="shared" si="8"/>
        <v>1</v>
      </c>
      <c r="O17" t="b">
        <f t="shared" si="8"/>
        <v>1</v>
      </c>
      <c r="P17" t="b">
        <f t="shared" ref="P17:Q17" si="9">P4&lt;3/1440</f>
        <v>1</v>
      </c>
      <c r="Q17" t="b">
        <f t="shared" si="9"/>
        <v>1</v>
      </c>
    </row>
    <row r="18" spans="1:18" ht="14.4" x14ac:dyDescent="0.3">
      <c r="A18" s="2">
        <v>31200</v>
      </c>
      <c r="B18" s="2" t="s">
        <v>11</v>
      </c>
      <c r="C18" t="b">
        <f t="shared" ref="C18:D18" si="10">C5&lt;3/1440</f>
        <v>1</v>
      </c>
      <c r="D18" t="b">
        <f t="shared" si="10"/>
        <v>1</v>
      </c>
      <c r="E18" t="b">
        <f t="shared" ref="E18:O18" si="11">E5&lt;3/1440</f>
        <v>0</v>
      </c>
      <c r="F18" t="b">
        <f t="shared" si="11"/>
        <v>0</v>
      </c>
      <c r="G18" t="b">
        <f t="shared" si="11"/>
        <v>0</v>
      </c>
      <c r="H18" t="b">
        <f t="shared" si="11"/>
        <v>0</v>
      </c>
      <c r="I18" t="b">
        <f t="shared" si="11"/>
        <v>0</v>
      </c>
      <c r="J18" t="b">
        <f t="shared" si="11"/>
        <v>0</v>
      </c>
      <c r="K18" t="b">
        <f t="shared" si="11"/>
        <v>0</v>
      </c>
      <c r="L18" t="b">
        <f t="shared" si="11"/>
        <v>0</v>
      </c>
      <c r="M18" t="b">
        <f t="shared" si="11"/>
        <v>0</v>
      </c>
      <c r="N18" t="b">
        <f t="shared" si="11"/>
        <v>0</v>
      </c>
      <c r="O18" t="b">
        <f t="shared" si="11"/>
        <v>0</v>
      </c>
      <c r="P18" t="b">
        <f t="shared" ref="P18:Q18" si="12">P5&lt;3/1440</f>
        <v>0</v>
      </c>
      <c r="Q18" t="b">
        <f t="shared" si="12"/>
        <v>0</v>
      </c>
    </row>
    <row r="19" spans="1:18" ht="14.4" x14ac:dyDescent="0.3">
      <c r="A19" s="2">
        <v>7900</v>
      </c>
      <c r="B19" s="2" t="s">
        <v>13</v>
      </c>
      <c r="C19" t="b">
        <f t="shared" ref="C19:D19" si="13">C6&lt;3/1440</f>
        <v>1</v>
      </c>
      <c r="D19" t="b">
        <f t="shared" si="13"/>
        <v>1</v>
      </c>
      <c r="E19" t="b">
        <f t="shared" ref="E19:O19" si="14">E6&lt;3/1440</f>
        <v>1</v>
      </c>
      <c r="F19" t="b">
        <f t="shared" si="14"/>
        <v>1</v>
      </c>
      <c r="G19" t="b">
        <f t="shared" si="14"/>
        <v>0</v>
      </c>
      <c r="H19" t="b">
        <f t="shared" si="14"/>
        <v>0</v>
      </c>
      <c r="I19" t="b">
        <f t="shared" si="14"/>
        <v>0</v>
      </c>
      <c r="J19" t="b">
        <f t="shared" si="14"/>
        <v>0</v>
      </c>
      <c r="K19" t="b">
        <f t="shared" si="14"/>
        <v>0</v>
      </c>
      <c r="L19" t="b">
        <f t="shared" si="14"/>
        <v>0</v>
      </c>
      <c r="M19" t="b">
        <f t="shared" si="14"/>
        <v>0</v>
      </c>
      <c r="N19" t="b">
        <f t="shared" si="14"/>
        <v>0</v>
      </c>
      <c r="O19" t="b">
        <f t="shared" si="14"/>
        <v>1</v>
      </c>
      <c r="P19" t="b">
        <f t="shared" ref="P19:Q19" si="15">P6&lt;3/1440</f>
        <v>1</v>
      </c>
      <c r="Q19" t="b">
        <f t="shared" si="15"/>
        <v>1</v>
      </c>
    </row>
    <row r="20" spans="1:18" ht="14.4" x14ac:dyDescent="0.3">
      <c r="A20" s="2">
        <v>31300</v>
      </c>
      <c r="B20" s="2" t="s">
        <v>3</v>
      </c>
      <c r="C20" t="b">
        <f t="shared" ref="C20:D21" si="16">C7&lt;3/1440</f>
        <v>1</v>
      </c>
      <c r="D20" t="b">
        <f t="shared" si="16"/>
        <v>1</v>
      </c>
      <c r="E20" t="b">
        <f t="shared" ref="E20:O21" si="17">E7&lt;3/1440</f>
        <v>1</v>
      </c>
      <c r="F20" t="b">
        <f t="shared" si="17"/>
        <v>1</v>
      </c>
      <c r="G20" t="b">
        <f t="shared" si="17"/>
        <v>1</v>
      </c>
      <c r="H20" t="b">
        <f t="shared" si="17"/>
        <v>1</v>
      </c>
      <c r="I20" t="b">
        <f t="shared" si="17"/>
        <v>1</v>
      </c>
      <c r="J20" t="b">
        <f t="shared" si="17"/>
        <v>1</v>
      </c>
      <c r="K20" t="b">
        <f t="shared" si="17"/>
        <v>1</v>
      </c>
      <c r="L20" t="b">
        <f t="shared" si="17"/>
        <v>1</v>
      </c>
      <c r="M20" t="b">
        <f t="shared" si="17"/>
        <v>1</v>
      </c>
      <c r="N20" t="b">
        <f t="shared" si="17"/>
        <v>1</v>
      </c>
      <c r="O20" t="b">
        <f t="shared" si="17"/>
        <v>1</v>
      </c>
      <c r="P20" t="b">
        <f t="shared" ref="P20:Q21" si="18">P7&lt;3/1440</f>
        <v>1</v>
      </c>
      <c r="Q20" t="b">
        <f t="shared" si="18"/>
        <v>1</v>
      </c>
    </row>
    <row r="21" spans="1:18" ht="14.4" x14ac:dyDescent="0.3">
      <c r="A21" s="2">
        <v>3600</v>
      </c>
      <c r="B21" s="2" t="s">
        <v>16</v>
      </c>
      <c r="C21" t="b">
        <f t="shared" si="16"/>
        <v>0</v>
      </c>
      <c r="D21" t="b">
        <f t="shared" si="16"/>
        <v>0</v>
      </c>
      <c r="E21" t="b">
        <f t="shared" si="17"/>
        <v>0</v>
      </c>
      <c r="F21" t="b">
        <f t="shared" si="17"/>
        <v>0</v>
      </c>
      <c r="G21" t="b">
        <f t="shared" si="17"/>
        <v>0</v>
      </c>
      <c r="H21" t="b">
        <f t="shared" si="17"/>
        <v>1</v>
      </c>
      <c r="I21" t="b">
        <f t="shared" si="17"/>
        <v>1</v>
      </c>
      <c r="J21" t="b">
        <f t="shared" si="17"/>
        <v>1</v>
      </c>
      <c r="K21" t="b">
        <f t="shared" si="17"/>
        <v>1</v>
      </c>
      <c r="L21" t="b">
        <f t="shared" si="17"/>
        <v>1</v>
      </c>
      <c r="M21" t="b">
        <f t="shared" si="17"/>
        <v>1</v>
      </c>
      <c r="N21" t="b">
        <f t="shared" si="17"/>
        <v>1</v>
      </c>
      <c r="O21" t="b">
        <f t="shared" si="17"/>
        <v>1</v>
      </c>
      <c r="P21" t="b">
        <f t="shared" si="18"/>
        <v>1</v>
      </c>
      <c r="Q21" t="b">
        <f t="shared" si="18"/>
        <v>1</v>
      </c>
    </row>
    <row r="22" spans="1:18" ht="14.4" x14ac:dyDescent="0.3">
      <c r="A22" s="2">
        <v>20350</v>
      </c>
      <c r="B22" s="2" t="s">
        <v>18</v>
      </c>
      <c r="C22" t="b">
        <f t="shared" ref="C22:Q22" si="19">C9&lt;3/1440</f>
        <v>1</v>
      </c>
      <c r="D22" t="b">
        <f t="shared" si="19"/>
        <v>1</v>
      </c>
      <c r="E22" t="b">
        <f t="shared" si="19"/>
        <v>1</v>
      </c>
      <c r="F22" t="b">
        <f t="shared" si="19"/>
        <v>1</v>
      </c>
      <c r="G22" t="b">
        <f t="shared" si="19"/>
        <v>1</v>
      </c>
      <c r="H22" t="b">
        <f t="shared" si="19"/>
        <v>1</v>
      </c>
      <c r="I22" t="b">
        <f t="shared" si="19"/>
        <v>1</v>
      </c>
      <c r="J22" t="b">
        <f t="shared" si="19"/>
        <v>1</v>
      </c>
      <c r="K22" t="b">
        <f t="shared" si="19"/>
        <v>1</v>
      </c>
      <c r="L22" t="b">
        <f t="shared" si="19"/>
        <v>1</v>
      </c>
      <c r="M22" t="b">
        <f t="shared" si="19"/>
        <v>1</v>
      </c>
      <c r="N22" t="b">
        <f t="shared" si="19"/>
        <v>1</v>
      </c>
      <c r="O22" t="b">
        <f t="shared" si="19"/>
        <v>1</v>
      </c>
      <c r="P22" t="b">
        <f t="shared" si="19"/>
        <v>1</v>
      </c>
      <c r="Q22" t="b">
        <f t="shared" si="19"/>
        <v>1</v>
      </c>
    </row>
    <row r="23" spans="1:18" ht="14.4" x14ac:dyDescent="0.3">
      <c r="A23" s="2">
        <v>31200</v>
      </c>
      <c r="B23" s="2" t="s">
        <v>18</v>
      </c>
      <c r="C23" t="b">
        <f t="shared" ref="C23:Q23" si="20">C10&lt;3/1440</f>
        <v>0</v>
      </c>
      <c r="D23" t="b">
        <f t="shared" si="20"/>
        <v>0</v>
      </c>
      <c r="E23" t="b">
        <f t="shared" si="20"/>
        <v>0</v>
      </c>
      <c r="F23" t="b">
        <f t="shared" si="20"/>
        <v>0</v>
      </c>
      <c r="G23" t="b">
        <f t="shared" si="20"/>
        <v>0</v>
      </c>
      <c r="H23" t="b">
        <f t="shared" si="20"/>
        <v>0</v>
      </c>
      <c r="I23" t="b">
        <f t="shared" si="20"/>
        <v>0</v>
      </c>
      <c r="J23" t="b">
        <f t="shared" si="20"/>
        <v>0</v>
      </c>
      <c r="K23" t="b">
        <f t="shared" si="20"/>
        <v>0</v>
      </c>
      <c r="L23" t="b">
        <f t="shared" si="20"/>
        <v>0</v>
      </c>
      <c r="M23" t="b">
        <f t="shared" si="20"/>
        <v>0</v>
      </c>
      <c r="N23" t="b">
        <f t="shared" si="20"/>
        <v>0</v>
      </c>
      <c r="O23" t="b">
        <f t="shared" si="20"/>
        <v>0</v>
      </c>
      <c r="P23" t="b">
        <f t="shared" si="20"/>
        <v>0</v>
      </c>
      <c r="Q23" t="b">
        <f t="shared" si="20"/>
        <v>0</v>
      </c>
    </row>
    <row r="24" spans="1:18" ht="14.4" x14ac:dyDescent="0.3">
      <c r="A24" s="2">
        <v>31200</v>
      </c>
      <c r="B24" s="2" t="s">
        <v>24</v>
      </c>
      <c r="C24" t="b">
        <f>C11&lt;3/1440</f>
        <v>1</v>
      </c>
      <c r="D24" t="b">
        <f t="shared" ref="D24:Q24" si="21">D11&lt;3/1440</f>
        <v>1</v>
      </c>
      <c r="E24" t="b">
        <f t="shared" si="21"/>
        <v>1</v>
      </c>
      <c r="F24" t="b">
        <f t="shared" si="21"/>
        <v>1</v>
      </c>
      <c r="G24" t="b">
        <f t="shared" si="21"/>
        <v>0</v>
      </c>
      <c r="H24" t="b">
        <f t="shared" si="21"/>
        <v>0</v>
      </c>
      <c r="I24" t="b">
        <f t="shared" si="21"/>
        <v>0</v>
      </c>
      <c r="J24" t="b">
        <f t="shared" si="21"/>
        <v>0</v>
      </c>
      <c r="K24" t="b">
        <f t="shared" si="21"/>
        <v>0</v>
      </c>
      <c r="L24" t="b">
        <f t="shared" si="21"/>
        <v>0</v>
      </c>
      <c r="M24" t="b">
        <f t="shared" si="21"/>
        <v>0</v>
      </c>
      <c r="N24" t="b">
        <f t="shared" si="21"/>
        <v>0</v>
      </c>
      <c r="O24" t="b">
        <f t="shared" si="21"/>
        <v>0</v>
      </c>
      <c r="P24" t="b">
        <f t="shared" si="21"/>
        <v>0</v>
      </c>
      <c r="Q24" t="b">
        <f t="shared" si="21"/>
        <v>0</v>
      </c>
    </row>
    <row r="25" spans="1:18" ht="14.4" x14ac:dyDescent="0.3">
      <c r="A25" s="2">
        <v>7900</v>
      </c>
      <c r="B25" s="2" t="s">
        <v>16</v>
      </c>
      <c r="C25" t="b">
        <f t="shared" ref="C25:D25" si="22">C12&lt;3/1440</f>
        <v>1</v>
      </c>
      <c r="D25" t="b">
        <f t="shared" si="22"/>
        <v>1</v>
      </c>
      <c r="E25" t="b">
        <f t="shared" ref="E25:O25" si="23">E12&lt;3/1440</f>
        <v>1</v>
      </c>
      <c r="F25" t="b">
        <f t="shared" si="23"/>
        <v>1</v>
      </c>
      <c r="G25" t="b">
        <f t="shared" si="23"/>
        <v>1</v>
      </c>
      <c r="H25" t="b">
        <f t="shared" si="23"/>
        <v>1</v>
      </c>
      <c r="I25" t="b">
        <f t="shared" si="23"/>
        <v>1</v>
      </c>
      <c r="J25" t="b">
        <f t="shared" si="23"/>
        <v>1</v>
      </c>
      <c r="K25" t="b">
        <f t="shared" si="23"/>
        <v>1</v>
      </c>
      <c r="L25" t="b">
        <f t="shared" si="23"/>
        <v>1</v>
      </c>
      <c r="M25" t="b">
        <f t="shared" si="23"/>
        <v>0</v>
      </c>
      <c r="N25" t="b">
        <f t="shared" si="23"/>
        <v>1</v>
      </c>
      <c r="O25" t="b">
        <f t="shared" si="23"/>
        <v>1</v>
      </c>
      <c r="P25" t="b">
        <f t="shared" ref="P25:Q25" si="24">P12&lt;3/1440</f>
        <v>1</v>
      </c>
      <c r="Q25" t="b">
        <f t="shared" si="24"/>
        <v>1</v>
      </c>
    </row>
    <row r="26" spans="1:18" ht="14.4" x14ac:dyDescent="0.3">
      <c r="A26" t="s">
        <v>31</v>
      </c>
      <c r="C26" s="12">
        <f>COUNTIF(C16:C21,TRUE) / 6</f>
        <v>0.83333333333333337</v>
      </c>
      <c r="D26" s="12">
        <f t="shared" ref="D26:Q26" si="25">COUNTIF(D16:D21,TRUE) / 6</f>
        <v>0.83333333333333337</v>
      </c>
      <c r="E26" s="12">
        <f t="shared" si="25"/>
        <v>0.33333333333333331</v>
      </c>
      <c r="F26" s="12">
        <f t="shared" si="25"/>
        <v>0.33333333333333331</v>
      </c>
      <c r="G26" s="12">
        <f t="shared" si="25"/>
        <v>0.16666666666666666</v>
      </c>
      <c r="H26" s="12">
        <f t="shared" si="25"/>
        <v>0.33333333333333331</v>
      </c>
      <c r="I26" s="12">
        <f t="shared" si="25"/>
        <v>0.33333333333333331</v>
      </c>
      <c r="J26" s="12">
        <f t="shared" si="25"/>
        <v>0.5</v>
      </c>
      <c r="K26" s="12">
        <f t="shared" si="25"/>
        <v>0.5</v>
      </c>
      <c r="L26" s="12">
        <f t="shared" si="25"/>
        <v>0.5</v>
      </c>
      <c r="M26" s="12">
        <f t="shared" si="25"/>
        <v>0.5</v>
      </c>
      <c r="N26" s="12">
        <f t="shared" si="25"/>
        <v>0.5</v>
      </c>
      <c r="O26" s="12">
        <f t="shared" si="25"/>
        <v>0.66666666666666663</v>
      </c>
      <c r="P26" s="12">
        <f t="shared" si="25"/>
        <v>0.83333333333333337</v>
      </c>
      <c r="Q26" s="12">
        <f t="shared" si="25"/>
        <v>0.83333333333333337</v>
      </c>
    </row>
    <row r="27" spans="1:18" ht="14.4" x14ac:dyDescent="0.3"/>
    <row r="28" spans="1:18" ht="14.4" x14ac:dyDescent="0.3">
      <c r="A28" t="s">
        <v>33</v>
      </c>
      <c r="C28" s="3">
        <f t="shared" ref="C28:D28" si="26">C2-C1</f>
        <v>-2.0833333333333333E-3</v>
      </c>
      <c r="D28" s="3">
        <f t="shared" si="26"/>
        <v>-2.7777777777777779E-3</v>
      </c>
      <c r="E28" s="3">
        <f t="shared" ref="E28:O28" si="27">E2-E1</f>
        <v>-3.0092592592592593E-3</v>
      </c>
      <c r="F28" s="3">
        <f t="shared" si="27"/>
        <v>-4.0046296296296297E-3</v>
      </c>
      <c r="G28" s="3">
        <f t="shared" si="27"/>
        <v>-4.0046296296296288E-3</v>
      </c>
      <c r="H28" s="3">
        <f t="shared" si="27"/>
        <v>-3.5879629629629573E-3</v>
      </c>
      <c r="I28" s="3">
        <f t="shared" si="27"/>
        <v>-4.0046296296296306E-3</v>
      </c>
      <c r="J28" s="3">
        <f t="shared" si="27"/>
        <v>2.7546296296296338E-3</v>
      </c>
      <c r="K28" s="3">
        <f t="shared" si="27"/>
        <v>2.0601851851851831E-3</v>
      </c>
      <c r="L28" s="3">
        <f t="shared" si="27"/>
        <v>1.3657407407407438E-3</v>
      </c>
      <c r="M28" s="3">
        <f t="shared" si="27"/>
        <v>6.712962962962931E-4</v>
      </c>
      <c r="N28" s="3">
        <f t="shared" si="27"/>
        <v>-2.3148148148147141E-5</v>
      </c>
      <c r="O28" s="3">
        <f t="shared" si="27"/>
        <v>-7.1759259259262728E-4</v>
      </c>
      <c r="P28" s="3">
        <f t="shared" ref="P28:Q28" si="28">P2-P1</f>
        <v>3.7037037037037056E-3</v>
      </c>
      <c r="Q28" s="3">
        <f t="shared" si="28"/>
        <v>2.3148148148148182E-4</v>
      </c>
      <c r="R28" t="s">
        <v>61</v>
      </c>
    </row>
    <row r="29" spans="1:18" ht="14.4" x14ac:dyDescent="0.3">
      <c r="A29" t="s">
        <v>33</v>
      </c>
      <c r="C29" s="3">
        <f t="shared" ref="C29:D29" si="29">C1-C2</f>
        <v>2.0833333333333333E-3</v>
      </c>
      <c r="D29" s="3">
        <f t="shared" si="29"/>
        <v>2.7777777777777779E-3</v>
      </c>
      <c r="E29" s="3">
        <f t="shared" ref="E29:O29" si="30">E1-E2</f>
        <v>3.0092592592592593E-3</v>
      </c>
      <c r="F29" s="3">
        <f t="shared" si="30"/>
        <v>4.0046296296296297E-3</v>
      </c>
      <c r="G29" s="3">
        <f t="shared" si="30"/>
        <v>4.0046296296296288E-3</v>
      </c>
      <c r="H29" s="3">
        <f t="shared" si="30"/>
        <v>3.5879629629629573E-3</v>
      </c>
      <c r="I29" s="3">
        <f t="shared" si="30"/>
        <v>4.0046296296296306E-3</v>
      </c>
      <c r="J29" s="3">
        <f t="shared" si="30"/>
        <v>-2.7546296296296338E-3</v>
      </c>
      <c r="K29" s="3">
        <f t="shared" si="30"/>
        <v>-2.0601851851851831E-3</v>
      </c>
      <c r="L29" s="3">
        <f t="shared" si="30"/>
        <v>-1.3657407407407438E-3</v>
      </c>
      <c r="M29" s="3">
        <f t="shared" si="30"/>
        <v>-6.712962962962931E-4</v>
      </c>
      <c r="N29" s="3">
        <f t="shared" si="30"/>
        <v>2.3148148148147141E-5</v>
      </c>
      <c r="O29" s="3">
        <f t="shared" si="30"/>
        <v>7.1759259259262728E-4</v>
      </c>
      <c r="P29" s="3">
        <f t="shared" ref="P29:Q29" si="31">P1-P2</f>
        <v>-3.7037037037037056E-3</v>
      </c>
      <c r="Q29" s="3">
        <f t="shared" si="31"/>
        <v>-2.3148148148148182E-4</v>
      </c>
      <c r="R29" t="s">
        <v>62</v>
      </c>
    </row>
    <row r="31" spans="1:18" ht="15" customHeight="1" x14ac:dyDescent="0.3">
      <c r="A31" t="s">
        <v>38</v>
      </c>
      <c r="C31" s="12">
        <f>C40</f>
        <v>0.87179487179487181</v>
      </c>
      <c r="D31" s="12">
        <f t="shared" ref="D31:Q31" si="32">D40</f>
        <v>0.82051282051282048</v>
      </c>
      <c r="E31" s="12">
        <f t="shared" si="32"/>
        <v>0.82051282051282048</v>
      </c>
      <c r="F31" s="12">
        <f t="shared" si="32"/>
        <v>0.79487179487179493</v>
      </c>
      <c r="G31" s="12">
        <f t="shared" si="32"/>
        <v>0.71794871794871795</v>
      </c>
      <c r="H31" s="12">
        <f t="shared" si="32"/>
        <v>0.89743589743589747</v>
      </c>
      <c r="I31" s="12">
        <f t="shared" si="32"/>
        <v>0.82051282051282048</v>
      </c>
      <c r="J31" s="12">
        <f t="shared" si="32"/>
        <v>0.76923076923076916</v>
      </c>
      <c r="K31" s="12">
        <f t="shared" si="32"/>
        <v>0.74358974358974361</v>
      </c>
      <c r="L31" s="12">
        <f t="shared" si="32"/>
        <v>0.76923076923076916</v>
      </c>
      <c r="M31" s="12">
        <f t="shared" si="32"/>
        <v>0.53846153846153844</v>
      </c>
      <c r="N31" s="12">
        <f t="shared" si="32"/>
        <v>0.76923076923076916</v>
      </c>
      <c r="O31" s="12">
        <f t="shared" si="32"/>
        <v>0.76923076923076916</v>
      </c>
      <c r="P31" s="12">
        <f t="shared" si="32"/>
        <v>0.76923076923076916</v>
      </c>
      <c r="Q31" s="12">
        <f t="shared" si="32"/>
        <v>0.76923076923076916</v>
      </c>
    </row>
    <row r="32" spans="1:18" ht="15" customHeight="1" x14ac:dyDescent="0.3">
      <c r="A32" t="s">
        <v>63</v>
      </c>
    </row>
    <row r="34" spans="1:17" ht="15" customHeight="1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1</v>
      </c>
      <c r="H34">
        <v>1</v>
      </c>
      <c r="I34">
        <v>4</v>
      </c>
      <c r="J34">
        <v>5</v>
      </c>
      <c r="K34">
        <v>5</v>
      </c>
      <c r="L34">
        <v>5</v>
      </c>
      <c r="M34">
        <v>5</v>
      </c>
      <c r="N34">
        <v>5</v>
      </c>
      <c r="O34">
        <v>5</v>
      </c>
      <c r="P34">
        <v>5</v>
      </c>
      <c r="Q34">
        <v>5</v>
      </c>
    </row>
    <row r="35" spans="1:17" ht="15" customHeight="1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1</v>
      </c>
      <c r="L35">
        <v>0</v>
      </c>
      <c r="M35">
        <v>9</v>
      </c>
      <c r="N35">
        <v>0</v>
      </c>
      <c r="O35">
        <v>0</v>
      </c>
      <c r="P35">
        <v>0</v>
      </c>
      <c r="Q35">
        <v>0</v>
      </c>
    </row>
    <row r="36" spans="1:17" ht="15" customHeight="1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ht="15" customHeight="1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2</v>
      </c>
      <c r="H37">
        <v>2</v>
      </c>
      <c r="I37">
        <v>2</v>
      </c>
      <c r="J37">
        <v>3</v>
      </c>
      <c r="K37">
        <v>3</v>
      </c>
      <c r="L37">
        <v>3</v>
      </c>
      <c r="M37">
        <v>3</v>
      </c>
      <c r="N37">
        <v>3</v>
      </c>
      <c r="O37">
        <v>3</v>
      </c>
      <c r="P37">
        <v>3</v>
      </c>
      <c r="Q37">
        <v>3</v>
      </c>
    </row>
    <row r="38" spans="1:17" ht="15" customHeight="1" x14ac:dyDescent="0.3">
      <c r="A38">
        <v>3600</v>
      </c>
      <c r="B38" t="s">
        <v>16</v>
      </c>
      <c r="C38">
        <v>3</v>
      </c>
      <c r="D38">
        <v>5</v>
      </c>
      <c r="E38">
        <v>5</v>
      </c>
      <c r="F38">
        <v>6</v>
      </c>
      <c r="G38">
        <v>8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ht="15" customHeight="1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ht="15" customHeight="1" x14ac:dyDescent="0.3">
      <c r="C40" s="12">
        <f>1-SUM(C34:C39)/39</f>
        <v>0.87179487179487181</v>
      </c>
      <c r="D40" s="12">
        <f t="shared" ref="D40:Q40" si="33">1-SUM(D34:D39)/39</f>
        <v>0.82051282051282048</v>
      </c>
      <c r="E40" s="12">
        <f t="shared" si="33"/>
        <v>0.82051282051282048</v>
      </c>
      <c r="F40" s="12">
        <f t="shared" si="33"/>
        <v>0.79487179487179493</v>
      </c>
      <c r="G40" s="12">
        <f t="shared" si="33"/>
        <v>0.71794871794871795</v>
      </c>
      <c r="H40" s="12">
        <f t="shared" si="33"/>
        <v>0.89743589743589747</v>
      </c>
      <c r="I40" s="12">
        <f t="shared" si="33"/>
        <v>0.82051282051282048</v>
      </c>
      <c r="J40" s="12">
        <f t="shared" si="33"/>
        <v>0.76923076923076916</v>
      </c>
      <c r="K40" s="12">
        <f t="shared" si="33"/>
        <v>0.74358974358974361</v>
      </c>
      <c r="L40" s="12">
        <f t="shared" si="33"/>
        <v>0.76923076923076916</v>
      </c>
      <c r="M40" s="12">
        <f t="shared" si="33"/>
        <v>0.53846153846153844</v>
      </c>
      <c r="N40" s="12">
        <f t="shared" si="33"/>
        <v>0.76923076923076916</v>
      </c>
      <c r="O40" s="12">
        <f t="shared" si="33"/>
        <v>0.76923076923076916</v>
      </c>
      <c r="P40" s="12">
        <f t="shared" si="33"/>
        <v>0.76923076923076916</v>
      </c>
      <c r="Q40" s="12">
        <f t="shared" si="33"/>
        <v>0.76923076923076916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94EF2-A527-4739-9CBE-ACA5990E28B6}">
  <dimension ref="A1:H10"/>
  <sheetViews>
    <sheetView workbookViewId="0"/>
  </sheetViews>
  <sheetFormatPr defaultRowHeight="14.4" x14ac:dyDescent="0.3"/>
  <sheetData>
    <row r="1" spans="1:8" x14ac:dyDescent="0.3">
      <c r="A1" t="str">
        <f>Summary!A56</f>
        <v>Total</v>
      </c>
      <c r="B1" t="str">
        <f>Summary!B56</f>
        <v>Total delay</v>
      </c>
      <c r="C1" t="str">
        <f>Summary!C56</f>
        <v>Total punctuality</v>
      </c>
      <c r="D1" t="str">
        <f>Summary!D56</f>
        <v>Diff ICE delay</v>
      </c>
      <c r="E1" t="str">
        <f>Summary!E56</f>
        <v>Transfer punct</v>
      </c>
      <c r="F1" t="str">
        <f>Summary!F56</f>
        <v>Aantal cancelled stops ICE</v>
      </c>
      <c r="G1" t="str">
        <f>Summary!G56</f>
        <v>Aantal cancelled stops Stop trains</v>
      </c>
      <c r="H1" t="str">
        <f>Summary!H56</f>
        <v>Met # min delay haalt ICE zn pad</v>
      </c>
    </row>
    <row r="2" spans="1:8" x14ac:dyDescent="0.3">
      <c r="A2" t="str">
        <f>Summary!A58</f>
        <v>Cancel stop Hgl-Odz-Zp</v>
      </c>
      <c r="B2">
        <f>Summary!B58</f>
        <v>0.18909722222222222</v>
      </c>
      <c r="C2">
        <f>Summary!C58</f>
        <v>0.68888888888888888</v>
      </c>
      <c r="D2">
        <f>Summary!D58</f>
        <v>-9.2592592592592748E-4</v>
      </c>
      <c r="E2">
        <f>Summary!E58</f>
        <v>0.88205128205128225</v>
      </c>
      <c r="F2">
        <f>Summary!F58</f>
        <v>0</v>
      </c>
      <c r="G2">
        <f>Summary!G58</f>
        <v>4</v>
      </c>
      <c r="H2">
        <f>Summary!H58</f>
        <v>6.2500000000000003E-3</v>
      </c>
    </row>
    <row r="3" spans="1:8" x14ac:dyDescent="0.3">
      <c r="A3" t="str">
        <f>Summary!A59</f>
        <v>ICE waits</v>
      </c>
      <c r="B3">
        <f>Summary!B59</f>
        <v>0.14324074074074075</v>
      </c>
      <c r="C3">
        <f>Summary!C59</f>
        <v>0.74444444444444458</v>
      </c>
      <c r="D3">
        <f>Summary!D59</f>
        <v>1.3333333333333316E-3</v>
      </c>
      <c r="E3">
        <f>Summary!E59</f>
        <v>0.93675213675213675</v>
      </c>
      <c r="F3">
        <f>Summary!F59</f>
        <v>0</v>
      </c>
      <c r="G3">
        <f>Summary!G59</f>
        <v>0</v>
      </c>
      <c r="H3">
        <f>Summary!H59</f>
        <v>3.472222222222222E-3</v>
      </c>
    </row>
    <row r="4" spans="1:8" x14ac:dyDescent="0.3">
      <c r="A4" t="str">
        <f>Summary!A60</f>
        <v>Stop waits</v>
      </c>
      <c r="B4">
        <f>Summary!B60</f>
        <v>0.33805555555555561</v>
      </c>
      <c r="C4">
        <f>Summary!C60</f>
        <v>0.53333333333333333</v>
      </c>
      <c r="D4">
        <f>Summary!D60</f>
        <v>-8.9506172839506329E-4</v>
      </c>
      <c r="E4">
        <f>Summary!E60</f>
        <v>0.7760683760683762</v>
      </c>
      <c r="F4">
        <f>Summary!F60</f>
        <v>0</v>
      </c>
      <c r="G4">
        <f>Summary!G60</f>
        <v>0</v>
      </c>
      <c r="H4">
        <f>Summary!H60</f>
        <v>6.2500000000000003E-3</v>
      </c>
    </row>
    <row r="5" spans="1:8" x14ac:dyDescent="0.3">
      <c r="A5" t="str">
        <f>Summary!A61</f>
        <v>Remove stop Hengelo</v>
      </c>
      <c r="B5">
        <f>Summary!B61</f>
        <v>0.13738425925925929</v>
      </c>
      <c r="C5">
        <f>Summary!C61</f>
        <v>0.72222222222222221</v>
      </c>
      <c r="D5">
        <f>Summary!D61</f>
        <v>-1.5648148148148164E-3</v>
      </c>
      <c r="E5">
        <f>Summary!E61</f>
        <v>0.91111111111111109</v>
      </c>
      <c r="F5">
        <f>Summary!F61</f>
        <v>1</v>
      </c>
      <c r="G5">
        <f>Summary!G61</f>
        <v>0</v>
      </c>
      <c r="H5">
        <f>Summary!H61</f>
        <v>6.2500000000000003E-3</v>
      </c>
    </row>
    <row r="6" spans="1:8" x14ac:dyDescent="0.3">
      <c r="A6" t="str">
        <f>Summary!A62</f>
        <v>Extra platform Hengelo</v>
      </c>
      <c r="B6">
        <f>Summary!B62</f>
        <v>0.1799074074074074</v>
      </c>
      <c r="C6">
        <f>Summary!C62</f>
        <v>0.66666666666666674</v>
      </c>
      <c r="D6">
        <f>Summary!D62</f>
        <v>-8.4104938271605098E-4</v>
      </c>
      <c r="E6">
        <f>Summary!E62</f>
        <v>0.91965811965811972</v>
      </c>
      <c r="F6">
        <f>Summary!F62</f>
        <v>0</v>
      </c>
      <c r="G6">
        <f>Summary!G62</f>
        <v>0</v>
      </c>
      <c r="H6">
        <f>Summary!H62</f>
        <v>6.2500000000000003E-3</v>
      </c>
    </row>
    <row r="7" spans="1:8" x14ac:dyDescent="0.3">
      <c r="A7" t="str">
        <f>Summary!A63</f>
        <v>Short-turn Hengelo</v>
      </c>
      <c r="B7">
        <f>Summary!B63</f>
        <v>0.13421296296296301</v>
      </c>
      <c r="C7">
        <f>Summary!C63</f>
        <v>0.87777777777777788</v>
      </c>
      <c r="D7" t="str">
        <f>Summary!D63</f>
        <v>N/A</v>
      </c>
      <c r="E7">
        <f>Summary!E63</f>
        <v>0.96068376068376071</v>
      </c>
      <c r="F7">
        <f>Summary!F63</f>
        <v>10</v>
      </c>
      <c r="G7">
        <f>Summary!G63</f>
        <v>0</v>
      </c>
      <c r="H7">
        <f>Summary!H63</f>
        <v>0</v>
      </c>
    </row>
    <row r="8" spans="1:8" x14ac:dyDescent="0.3">
      <c r="A8" t="str">
        <f>Summary!A64</f>
        <v>Overtake Rijssen</v>
      </c>
      <c r="B8">
        <f>Summary!B64</f>
        <v>0.30784722222222222</v>
      </c>
      <c r="C8">
        <f>Summary!C64</f>
        <v>0.6</v>
      </c>
      <c r="D8">
        <f>Summary!D64</f>
        <v>-4.1358024691358212E-4</v>
      </c>
      <c r="E8">
        <f>Summary!E64</f>
        <v>0.92649572649572653</v>
      </c>
      <c r="F8">
        <f>Summary!F64</f>
        <v>0</v>
      </c>
      <c r="G8">
        <f>Summary!G64</f>
        <v>0</v>
      </c>
      <c r="H8">
        <f>Summary!H64</f>
        <v>4.1666666666666666E-3</v>
      </c>
    </row>
    <row r="9" spans="1:8" x14ac:dyDescent="0.3">
      <c r="A9" t="str">
        <f>Summary!A65</f>
        <v>Alternative ICE path</v>
      </c>
      <c r="B9">
        <f>Summary!B65</f>
        <v>5.7986111111111092E-2</v>
      </c>
      <c r="C9">
        <f>Summary!C65</f>
        <v>1</v>
      </c>
      <c r="D9">
        <f>Summary!D65</f>
        <v>1.0092592592592591E-2</v>
      </c>
      <c r="E9">
        <f>Summary!E65</f>
        <v>0.97435897435897434</v>
      </c>
      <c r="F9">
        <f>Summary!F65</f>
        <v>0</v>
      </c>
      <c r="G9">
        <f>Summary!G65</f>
        <v>0</v>
      </c>
      <c r="H9">
        <f>Summary!H65</f>
        <v>0</v>
      </c>
    </row>
    <row r="10" spans="1:8" x14ac:dyDescent="0.3">
      <c r="A10" t="str">
        <f>Summary!A66</f>
        <v>Stop Almelo</v>
      </c>
      <c r="B10">
        <f>Summary!B66</f>
        <v>0.17932870370370368</v>
      </c>
      <c r="C10">
        <f>Summary!C66</f>
        <v>0.64444444444444449</v>
      </c>
      <c r="D10">
        <f>Summary!D66</f>
        <v>-1.2283950617283969E-3</v>
      </c>
      <c r="E10">
        <f>Summary!E66</f>
        <v>0.92307692307692313</v>
      </c>
      <c r="F10">
        <f>Summary!F66</f>
        <v>0.5</v>
      </c>
      <c r="G10">
        <f>Summary!G66</f>
        <v>0</v>
      </c>
      <c r="H10">
        <f>Summary!H66</f>
        <v>6.2500000000000003E-3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E6442-E5B2-4EB6-9806-EE9F1194E839}">
  <dimension ref="A1:T40"/>
  <sheetViews>
    <sheetView workbookViewId="0">
      <selection activeCell="I2" sqref="I2"/>
    </sheetView>
  </sheetViews>
  <sheetFormatPr defaultRowHeight="14.4" x14ac:dyDescent="0.3"/>
  <cols>
    <col min="1" max="17" width="10.6640625" customWidth="1"/>
  </cols>
  <sheetData>
    <row r="1" spans="1:20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0</v>
      </c>
      <c r="G2" s="22">
        <v>4.1666666666666669E-4</v>
      </c>
      <c r="H2" s="22">
        <v>4.6296296296296298E-4</v>
      </c>
      <c r="I2" s="22">
        <v>9.2592592592592596E-4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1.1435185185185185E-2</v>
      </c>
      <c r="Q2" s="22">
        <v>1.7592592592592594E-2</v>
      </c>
      <c r="R2" t="s">
        <v>4</v>
      </c>
      <c r="T2" t="s">
        <v>60</v>
      </c>
    </row>
    <row r="3" spans="1:20" x14ac:dyDescent="0.3">
      <c r="A3" s="2">
        <v>1700</v>
      </c>
      <c r="B3" s="7" t="s">
        <v>6</v>
      </c>
      <c r="C3" s="25">
        <v>0</v>
      </c>
      <c r="D3" s="25">
        <v>1.1574074074074075E-4</v>
      </c>
      <c r="E3" s="3">
        <v>8.3333333333333339E-4</v>
      </c>
      <c r="F3" s="3">
        <v>1.6435185185185185E-3</v>
      </c>
      <c r="G3" s="3">
        <v>3.2175925925925926E-3</v>
      </c>
      <c r="H3" s="3">
        <v>3.2638888888888891E-3</v>
      </c>
      <c r="I3" s="3">
        <v>1.136574074074074E-2</v>
      </c>
      <c r="J3" s="3">
        <v>3.7268518518518519E-3</v>
      </c>
      <c r="K3" s="3">
        <v>3.7268518518518519E-3</v>
      </c>
      <c r="L3" s="3">
        <v>6.1111111111111114E-3</v>
      </c>
      <c r="M3" s="3">
        <v>6.1111111111111114E-3</v>
      </c>
      <c r="N3" s="3">
        <v>3.7268518518518519E-3</v>
      </c>
      <c r="O3" s="3">
        <v>3.7268518518518519E-3</v>
      </c>
      <c r="P3" s="3">
        <v>6.2037037037037035E-3</v>
      </c>
      <c r="Q3" s="3">
        <v>1.5509259259259259E-3</v>
      </c>
      <c r="R3" t="s">
        <v>7</v>
      </c>
    </row>
    <row r="4" spans="1:20" x14ac:dyDescent="0.3">
      <c r="A4" s="2">
        <v>7000</v>
      </c>
      <c r="B4" s="7" t="s">
        <v>9</v>
      </c>
      <c r="C4" s="25">
        <v>0</v>
      </c>
      <c r="D4" s="25">
        <v>6.9444444444444444E-5</v>
      </c>
      <c r="E4" s="3">
        <v>7.6388888888888893E-4</v>
      </c>
      <c r="F4" s="3">
        <v>1.4583333333333334E-3</v>
      </c>
      <c r="G4" s="3">
        <v>3.0324074074074073E-3</v>
      </c>
      <c r="H4" s="3">
        <v>3.0787037037037037E-3</v>
      </c>
      <c r="I4" s="3">
        <v>3.5416666666666665E-3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x14ac:dyDescent="0.3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1.2962962962962963E-3</v>
      </c>
      <c r="H6" s="3">
        <v>1.3425925925925925E-3</v>
      </c>
      <c r="I6" s="3">
        <v>1.8055555555555555E-3</v>
      </c>
      <c r="J6" s="3">
        <v>2.5000000000000001E-3</v>
      </c>
      <c r="K6" s="3">
        <v>3.1944444444444446E-3</v>
      </c>
      <c r="L6" s="3">
        <v>3.8888888888888888E-3</v>
      </c>
      <c r="M6" s="3">
        <v>4.5833333333333334E-3</v>
      </c>
      <c r="N6" s="3">
        <v>1.5740740740740741E-3</v>
      </c>
      <c r="O6" s="3">
        <v>2.1759259259259258E-3</v>
      </c>
      <c r="P6" s="3">
        <v>0</v>
      </c>
      <c r="Q6" s="3">
        <v>0</v>
      </c>
      <c r="R6" t="s">
        <v>14</v>
      </c>
    </row>
    <row r="7" spans="1:20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x14ac:dyDescent="0.3">
      <c r="A8" s="2">
        <v>3600</v>
      </c>
      <c r="B8" s="7" t="s">
        <v>16</v>
      </c>
      <c r="C8" s="25">
        <v>1.0648148148148149E-3</v>
      </c>
      <c r="D8" s="25">
        <v>1.736111111111111E-3</v>
      </c>
      <c r="E8" s="3">
        <v>2.4074074074074076E-3</v>
      </c>
      <c r="F8" s="3">
        <v>4.0509259259259257E-3</v>
      </c>
      <c r="G8" s="3">
        <v>5.6249999999999998E-3</v>
      </c>
      <c r="H8" s="3">
        <v>5.6712962962962967E-3</v>
      </c>
      <c r="I8" s="3">
        <v>6.1342592592592594E-3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 x14ac:dyDescent="0.3">
      <c r="A9" s="2">
        <v>20350</v>
      </c>
      <c r="B9" s="7" t="s">
        <v>18</v>
      </c>
      <c r="C9" s="24">
        <v>0</v>
      </c>
      <c r="D9" s="24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0" x14ac:dyDescent="0.3">
      <c r="A10" s="4">
        <v>31200</v>
      </c>
      <c r="B10" s="4" t="s">
        <v>18</v>
      </c>
      <c r="C10" s="26">
        <v>2.1990740740740742E-3</v>
      </c>
      <c r="D10" s="25">
        <v>2.8935185185185184E-3</v>
      </c>
      <c r="E10" s="3">
        <v>3.5879629629629629E-3</v>
      </c>
      <c r="F10" s="3">
        <v>4.2824074074074075E-3</v>
      </c>
      <c r="G10" s="3">
        <v>1.1574074074074075E-4</v>
      </c>
      <c r="H10" s="3">
        <v>1.1574074074074075E-4</v>
      </c>
      <c r="I10" s="3">
        <v>1.1574074074074075E-4</v>
      </c>
      <c r="J10" s="3">
        <v>1.1574074074074075E-4</v>
      </c>
      <c r="K10" s="3">
        <v>1.1574074074074075E-4</v>
      </c>
      <c r="L10" s="3">
        <v>1.1574074074074075E-4</v>
      </c>
      <c r="M10" s="3">
        <v>1.1574074074074075E-4</v>
      </c>
      <c r="N10" s="3">
        <v>1.1574074074074075E-4</v>
      </c>
      <c r="O10" s="3">
        <v>1.1574074074074075E-4</v>
      </c>
      <c r="P10" s="3">
        <v>1.1574074074074075E-4</v>
      </c>
      <c r="Q10" s="3">
        <v>1.1574074074074075E-4</v>
      </c>
    </row>
    <row r="11" spans="1:20" x14ac:dyDescent="0.3">
      <c r="A11" s="2">
        <v>31200</v>
      </c>
      <c r="B11" s="2" t="s">
        <v>24</v>
      </c>
      <c r="C11" s="26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6.9444444444444444E-5</v>
      </c>
      <c r="M12" s="3">
        <v>7.6388888888888893E-4</v>
      </c>
      <c r="N12" s="3">
        <v>0</v>
      </c>
      <c r="O12" s="3">
        <v>0</v>
      </c>
      <c r="P12" s="22">
        <v>0</v>
      </c>
      <c r="Q12" s="22">
        <v>0</v>
      </c>
    </row>
    <row r="13" spans="1:20" x14ac:dyDescent="0.3">
      <c r="A13" s="9" t="s">
        <v>25</v>
      </c>
      <c r="B13" s="9"/>
      <c r="C13" s="10">
        <f t="shared" ref="C13:Q13" si="0">SUM(C3:C8)</f>
        <v>1.6203703703703705E-3</v>
      </c>
      <c r="D13" s="10">
        <f t="shared" si="0"/>
        <v>3.5416666666666665E-3</v>
      </c>
      <c r="E13" s="10">
        <f t="shared" si="0"/>
        <v>7.9398148148148162E-3</v>
      </c>
      <c r="F13" s="10">
        <f t="shared" si="0"/>
        <v>1.1782407407407408E-2</v>
      </c>
      <c r="G13" s="10">
        <f t="shared" si="0"/>
        <v>1.3171296296296296E-2</v>
      </c>
      <c r="H13" s="10">
        <f t="shared" si="0"/>
        <v>1.3356481481481481E-2</v>
      </c>
      <c r="I13" s="10">
        <f t="shared" si="0"/>
        <v>2.2847222222222224E-2</v>
      </c>
      <c r="J13" s="10">
        <f t="shared" si="0"/>
        <v>7.1759259259259259E-3</v>
      </c>
      <c r="K13" s="10">
        <f t="shared" si="0"/>
        <v>7.8703703703703713E-3</v>
      </c>
      <c r="L13" s="10">
        <f t="shared" si="0"/>
        <v>1.0949074074074075E-2</v>
      </c>
      <c r="M13" s="10">
        <f t="shared" si="0"/>
        <v>1.1643518518518518E-2</v>
      </c>
      <c r="N13" s="10">
        <f t="shared" si="0"/>
        <v>6.2500000000000003E-3</v>
      </c>
      <c r="O13" s="10">
        <f t="shared" si="0"/>
        <v>6.851851851851852E-3</v>
      </c>
      <c r="P13" s="10">
        <f t="shared" si="0"/>
        <v>8.518518518518519E-3</v>
      </c>
      <c r="Q13" s="10">
        <f t="shared" si="0"/>
        <v>3.8657407407407403E-3</v>
      </c>
    </row>
    <row r="15" spans="1:20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>E3&lt;3/1440</f>
        <v>1</v>
      </c>
      <c r="F16" t="b">
        <f t="shared" ref="F16:O16" si="5">F3&lt;3/1440</f>
        <v>1</v>
      </c>
      <c r="G16" t="b">
        <f t="shared" si="5"/>
        <v>0</v>
      </c>
      <c r="H16" t="b">
        <f t="shared" si="5"/>
        <v>0</v>
      </c>
      <c r="I16" t="b">
        <f t="shared" si="5"/>
        <v>0</v>
      </c>
      <c r="J16" t="b">
        <f t="shared" si="5"/>
        <v>0</v>
      </c>
      <c r="K16" t="b">
        <f t="shared" si="5"/>
        <v>0</v>
      </c>
      <c r="L16" t="b">
        <f t="shared" si="5"/>
        <v>0</v>
      </c>
      <c r="M16" t="b">
        <f t="shared" si="5"/>
        <v>0</v>
      </c>
      <c r="N16" t="b">
        <f t="shared" si="5"/>
        <v>0</v>
      </c>
      <c r="O16" t="b">
        <f t="shared" si="5"/>
        <v>0</v>
      </c>
      <c r="P16" t="b">
        <f t="shared" ref="P16:Q16" si="6">P3&lt;3/1440</f>
        <v>0</v>
      </c>
      <c r="Q16" t="b">
        <f t="shared" si="6"/>
        <v>1</v>
      </c>
    </row>
    <row r="17" spans="1:18" x14ac:dyDescent="0.3">
      <c r="A17" s="2">
        <v>7000</v>
      </c>
      <c r="B17" s="2" t="s">
        <v>9</v>
      </c>
      <c r="C17" t="b">
        <f t="shared" ref="C17:D17" si="7">C4&lt;3/1440</f>
        <v>1</v>
      </c>
      <c r="D17" t="b">
        <f t="shared" si="7"/>
        <v>1</v>
      </c>
      <c r="E17" t="b">
        <f t="shared" ref="E17:O21" si="8">E4&lt;3/1440</f>
        <v>1</v>
      </c>
      <c r="F17" t="b">
        <f t="shared" si="8"/>
        <v>1</v>
      </c>
      <c r="G17" t="b">
        <f t="shared" si="8"/>
        <v>0</v>
      </c>
      <c r="H17" t="b">
        <f t="shared" si="8"/>
        <v>0</v>
      </c>
      <c r="I17" t="b">
        <f t="shared" si="8"/>
        <v>0</v>
      </c>
      <c r="J17" t="b">
        <f t="shared" si="8"/>
        <v>1</v>
      </c>
      <c r="K17" t="b">
        <f>K4&lt;3/1440</f>
        <v>1</v>
      </c>
      <c r="L17" t="b">
        <f t="shared" si="8"/>
        <v>1</v>
      </c>
      <c r="M17" t="b">
        <f t="shared" si="8"/>
        <v>1</v>
      </c>
      <c r="N17" t="b">
        <f t="shared" si="8"/>
        <v>1</v>
      </c>
      <c r="O17" t="b">
        <f t="shared" si="8"/>
        <v>1</v>
      </c>
      <c r="P17" t="b">
        <f t="shared" ref="P17:Q17" si="9">P4&lt;3/1440</f>
        <v>1</v>
      </c>
      <c r="Q17" t="b">
        <f t="shared" si="9"/>
        <v>1</v>
      </c>
    </row>
    <row r="18" spans="1:18" x14ac:dyDescent="0.3">
      <c r="A18" s="2">
        <v>31200</v>
      </c>
      <c r="B18" s="2" t="s">
        <v>11</v>
      </c>
      <c r="C18" t="b">
        <f t="shared" ref="C18:D18" si="10">C5&lt;3/1440</f>
        <v>1</v>
      </c>
      <c r="D18" t="b">
        <f t="shared" si="10"/>
        <v>1</v>
      </c>
      <c r="E18" t="b">
        <f t="shared" si="8"/>
        <v>0</v>
      </c>
      <c r="F18" t="b">
        <f t="shared" si="8"/>
        <v>0</v>
      </c>
      <c r="G18" t="b">
        <f t="shared" si="8"/>
        <v>1</v>
      </c>
      <c r="H18" t="b">
        <f t="shared" si="8"/>
        <v>1</v>
      </c>
      <c r="I18" t="b">
        <f t="shared" si="8"/>
        <v>1</v>
      </c>
      <c r="J18" t="b">
        <f t="shared" si="8"/>
        <v>1</v>
      </c>
      <c r="K18" t="b">
        <f t="shared" si="8"/>
        <v>1</v>
      </c>
      <c r="L18" t="b">
        <f t="shared" si="8"/>
        <v>1</v>
      </c>
      <c r="M18" t="b">
        <f t="shared" si="8"/>
        <v>1</v>
      </c>
      <c r="N18" t="b">
        <f t="shared" si="8"/>
        <v>1</v>
      </c>
      <c r="O18" t="b">
        <f t="shared" si="8"/>
        <v>1</v>
      </c>
      <c r="P18" t="b">
        <f t="shared" ref="P18:Q18" si="11">P5&lt;3/1440</f>
        <v>1</v>
      </c>
      <c r="Q18" t="b">
        <f t="shared" si="11"/>
        <v>1</v>
      </c>
    </row>
    <row r="19" spans="1:18" x14ac:dyDescent="0.3">
      <c r="A19" s="2">
        <v>7900</v>
      </c>
      <c r="B19" s="2" t="s">
        <v>13</v>
      </c>
      <c r="C19" t="b">
        <f t="shared" ref="C19:D19" si="12">C6&lt;3/1440</f>
        <v>1</v>
      </c>
      <c r="D19" t="b">
        <f t="shared" si="12"/>
        <v>1</v>
      </c>
      <c r="E19" t="b">
        <f t="shared" si="8"/>
        <v>1</v>
      </c>
      <c r="F19" t="b">
        <f t="shared" si="8"/>
        <v>1</v>
      </c>
      <c r="G19" t="b">
        <f t="shared" si="8"/>
        <v>1</v>
      </c>
      <c r="H19" t="b">
        <f t="shared" si="8"/>
        <v>1</v>
      </c>
      <c r="I19" t="b">
        <f t="shared" si="8"/>
        <v>1</v>
      </c>
      <c r="J19" t="b">
        <f t="shared" si="8"/>
        <v>0</v>
      </c>
      <c r="K19" t="b">
        <f t="shared" si="8"/>
        <v>0</v>
      </c>
      <c r="L19" t="b">
        <f t="shared" si="8"/>
        <v>0</v>
      </c>
      <c r="M19" t="b">
        <f t="shared" si="8"/>
        <v>0</v>
      </c>
      <c r="N19" t="b">
        <f t="shared" si="8"/>
        <v>1</v>
      </c>
      <c r="O19" t="b">
        <f t="shared" si="8"/>
        <v>0</v>
      </c>
      <c r="P19" t="b">
        <f t="shared" ref="P19:Q19" si="13">P6&lt;3/1440</f>
        <v>1</v>
      </c>
      <c r="Q19" t="b">
        <f t="shared" si="13"/>
        <v>1</v>
      </c>
    </row>
    <row r="20" spans="1:18" x14ac:dyDescent="0.3">
      <c r="A20" s="2">
        <v>31300</v>
      </c>
      <c r="B20" s="2" t="s">
        <v>3</v>
      </c>
      <c r="C20" t="b">
        <f t="shared" ref="C20:D21" si="14">C7&lt;3/1440</f>
        <v>1</v>
      </c>
      <c r="D20" t="b">
        <f t="shared" si="14"/>
        <v>1</v>
      </c>
      <c r="E20" t="b">
        <f t="shared" si="8"/>
        <v>1</v>
      </c>
      <c r="F20" t="b">
        <f t="shared" si="8"/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ref="P20:Q21" si="15">P7&lt;3/1440</f>
        <v>1</v>
      </c>
      <c r="Q20" t="b">
        <f t="shared" si="15"/>
        <v>1</v>
      </c>
    </row>
    <row r="21" spans="1:18" x14ac:dyDescent="0.3">
      <c r="A21" s="2">
        <v>3600</v>
      </c>
      <c r="B21" s="2" t="s">
        <v>16</v>
      </c>
      <c r="C21" t="b">
        <f t="shared" si="14"/>
        <v>1</v>
      </c>
      <c r="D21" t="b">
        <f t="shared" si="14"/>
        <v>1</v>
      </c>
      <c r="E21" t="b">
        <f t="shared" si="8"/>
        <v>0</v>
      </c>
      <c r="F21" t="b">
        <f t="shared" si="8"/>
        <v>0</v>
      </c>
      <c r="G21" t="b">
        <f t="shared" si="8"/>
        <v>0</v>
      </c>
      <c r="H21" t="b">
        <f t="shared" si="8"/>
        <v>0</v>
      </c>
      <c r="I21" t="b">
        <f t="shared" si="8"/>
        <v>0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15"/>
        <v>1</v>
      </c>
      <c r="Q21" t="b">
        <f t="shared" si="15"/>
        <v>1</v>
      </c>
    </row>
    <row r="22" spans="1:18" x14ac:dyDescent="0.3">
      <c r="A22" s="2">
        <v>20350</v>
      </c>
      <c r="B22" s="2" t="s">
        <v>18</v>
      </c>
      <c r="C22" t="b">
        <f t="shared" ref="C22:Q22" si="16">C9&lt;3/1440</f>
        <v>1</v>
      </c>
      <c r="D22" t="b">
        <f t="shared" si="16"/>
        <v>1</v>
      </c>
      <c r="E22" t="b">
        <f t="shared" si="16"/>
        <v>1</v>
      </c>
      <c r="F22" t="b">
        <f t="shared" si="16"/>
        <v>1</v>
      </c>
      <c r="G22" t="b">
        <f t="shared" si="16"/>
        <v>1</v>
      </c>
      <c r="H22" t="b">
        <f t="shared" si="16"/>
        <v>1</v>
      </c>
      <c r="I22" t="b">
        <f t="shared" si="16"/>
        <v>1</v>
      </c>
      <c r="J22" t="b">
        <f t="shared" si="16"/>
        <v>1</v>
      </c>
      <c r="K22" t="b">
        <f t="shared" si="16"/>
        <v>1</v>
      </c>
      <c r="L22" t="b">
        <f t="shared" si="16"/>
        <v>1</v>
      </c>
      <c r="M22" t="b">
        <f t="shared" si="16"/>
        <v>1</v>
      </c>
      <c r="N22" t="b">
        <f t="shared" si="16"/>
        <v>1</v>
      </c>
      <c r="O22" t="b">
        <f t="shared" si="16"/>
        <v>1</v>
      </c>
      <c r="P22" t="b">
        <f t="shared" si="16"/>
        <v>1</v>
      </c>
      <c r="Q22" t="b">
        <f t="shared" si="16"/>
        <v>1</v>
      </c>
    </row>
    <row r="23" spans="1:18" x14ac:dyDescent="0.3">
      <c r="A23" s="2">
        <v>31200</v>
      </c>
      <c r="B23" s="2" t="s">
        <v>18</v>
      </c>
      <c r="C23" t="b">
        <f t="shared" ref="C23:Q23" si="17">C10&lt;3/1440</f>
        <v>0</v>
      </c>
      <c r="D23" t="b">
        <f t="shared" si="17"/>
        <v>0</v>
      </c>
      <c r="E23" t="b">
        <f t="shared" si="17"/>
        <v>0</v>
      </c>
      <c r="F23" t="b">
        <f t="shared" si="17"/>
        <v>0</v>
      </c>
      <c r="G23" t="b">
        <f t="shared" si="17"/>
        <v>1</v>
      </c>
      <c r="H23" t="b">
        <f t="shared" si="17"/>
        <v>1</v>
      </c>
      <c r="I23" t="b">
        <f t="shared" si="17"/>
        <v>1</v>
      </c>
      <c r="J23" t="b">
        <f t="shared" si="17"/>
        <v>1</v>
      </c>
      <c r="K23" t="b">
        <f t="shared" si="17"/>
        <v>1</v>
      </c>
      <c r="L23" t="b">
        <f t="shared" si="17"/>
        <v>1</v>
      </c>
      <c r="M23" t="b">
        <f t="shared" si="17"/>
        <v>1</v>
      </c>
      <c r="N23" t="b">
        <f t="shared" si="17"/>
        <v>1</v>
      </c>
      <c r="O23" t="b">
        <f t="shared" si="17"/>
        <v>1</v>
      </c>
      <c r="P23" t="b">
        <f t="shared" si="17"/>
        <v>1</v>
      </c>
      <c r="Q23" t="b">
        <f t="shared" si="17"/>
        <v>1</v>
      </c>
    </row>
    <row r="24" spans="1:18" x14ac:dyDescent="0.3">
      <c r="A24" s="2">
        <v>31200</v>
      </c>
      <c r="B24" s="2" t="s">
        <v>24</v>
      </c>
      <c r="C24" t="b">
        <f t="shared" ref="C24:D24" si="18">C11&lt;3/1440</f>
        <v>1</v>
      </c>
      <c r="D24" t="b">
        <f t="shared" si="18"/>
        <v>1</v>
      </c>
      <c r="E24" t="b">
        <f t="shared" ref="E24:O24" si="19">E11&lt;3/1440</f>
        <v>1</v>
      </c>
      <c r="F24" t="b">
        <f t="shared" si="19"/>
        <v>1</v>
      </c>
      <c r="G24" t="b">
        <f t="shared" si="19"/>
        <v>1</v>
      </c>
      <c r="H24" t="b">
        <f t="shared" si="19"/>
        <v>1</v>
      </c>
      <c r="I24" t="b">
        <f t="shared" si="19"/>
        <v>1</v>
      </c>
      <c r="J24" t="b">
        <f t="shared" si="19"/>
        <v>1</v>
      </c>
      <c r="K24" t="b">
        <f t="shared" si="19"/>
        <v>1</v>
      </c>
      <c r="L24" t="b">
        <f t="shared" si="19"/>
        <v>1</v>
      </c>
      <c r="M24" t="b">
        <f t="shared" si="19"/>
        <v>1</v>
      </c>
      <c r="N24" t="b">
        <f t="shared" si="19"/>
        <v>1</v>
      </c>
      <c r="O24" t="b">
        <f t="shared" si="19"/>
        <v>1</v>
      </c>
      <c r="P24" t="b">
        <f t="shared" ref="P24:Q24" si="20">P11&lt;3/1440</f>
        <v>1</v>
      </c>
      <c r="Q24" t="b">
        <f t="shared" si="20"/>
        <v>1</v>
      </c>
    </row>
    <row r="25" spans="1:18" x14ac:dyDescent="0.3">
      <c r="A25" s="2">
        <v>7900</v>
      </c>
      <c r="B25" s="2" t="s">
        <v>16</v>
      </c>
      <c r="C25" t="b">
        <f t="shared" ref="C25:D25" si="21">C12&lt;3/1440</f>
        <v>1</v>
      </c>
      <c r="D25" t="b">
        <f t="shared" si="21"/>
        <v>1</v>
      </c>
      <c r="E25" t="b">
        <f t="shared" ref="E25:O25" si="22">E12&lt;3/1440</f>
        <v>1</v>
      </c>
      <c r="F25" t="b">
        <f t="shared" si="22"/>
        <v>1</v>
      </c>
      <c r="G25" t="b">
        <f t="shared" si="22"/>
        <v>1</v>
      </c>
      <c r="H25" t="b">
        <f t="shared" si="22"/>
        <v>1</v>
      </c>
      <c r="I25" t="b">
        <f t="shared" si="22"/>
        <v>1</v>
      </c>
      <c r="J25" t="b">
        <f t="shared" si="22"/>
        <v>1</v>
      </c>
      <c r="K25" t="b">
        <f t="shared" si="22"/>
        <v>1</v>
      </c>
      <c r="L25" t="b">
        <f t="shared" si="22"/>
        <v>1</v>
      </c>
      <c r="M25" t="b">
        <f t="shared" si="22"/>
        <v>1</v>
      </c>
      <c r="N25" t="b">
        <f t="shared" si="22"/>
        <v>1</v>
      </c>
      <c r="O25" t="b">
        <f t="shared" si="22"/>
        <v>1</v>
      </c>
      <c r="P25" t="b">
        <f t="shared" ref="P25:Q25" si="23">P12&lt;3/1440</f>
        <v>1</v>
      </c>
      <c r="Q25" t="b">
        <f t="shared" si="23"/>
        <v>1</v>
      </c>
    </row>
    <row r="26" spans="1:18" x14ac:dyDescent="0.3">
      <c r="A26" t="s">
        <v>31</v>
      </c>
      <c r="C26" s="12">
        <f>COUNTIF(C16:C21,TRUE) / 6</f>
        <v>1</v>
      </c>
      <c r="D26" s="12">
        <f t="shared" ref="D26:Q26" si="24">COUNTIF(D16:D21,TRUE) / 6</f>
        <v>1</v>
      </c>
      <c r="E26" s="12">
        <f t="shared" si="24"/>
        <v>0.66666666666666663</v>
      </c>
      <c r="F26" s="12">
        <f t="shared" si="24"/>
        <v>0.66666666666666663</v>
      </c>
      <c r="G26" s="12">
        <f t="shared" si="24"/>
        <v>0.5</v>
      </c>
      <c r="H26" s="12">
        <f t="shared" si="24"/>
        <v>0.5</v>
      </c>
      <c r="I26" s="12">
        <f t="shared" si="24"/>
        <v>0.5</v>
      </c>
      <c r="J26" s="12">
        <f t="shared" si="24"/>
        <v>0.66666666666666663</v>
      </c>
      <c r="K26" s="12">
        <f t="shared" si="24"/>
        <v>0.66666666666666663</v>
      </c>
      <c r="L26" s="12">
        <f t="shared" si="24"/>
        <v>0.66666666666666663</v>
      </c>
      <c r="M26" s="12">
        <f t="shared" si="24"/>
        <v>0.66666666666666663</v>
      </c>
      <c r="N26" s="12">
        <f t="shared" si="24"/>
        <v>0.83333333333333337</v>
      </c>
      <c r="O26" s="12">
        <f t="shared" si="24"/>
        <v>0.66666666666666663</v>
      </c>
      <c r="P26" s="12">
        <f t="shared" si="24"/>
        <v>0.83333333333333337</v>
      </c>
      <c r="Q26" s="12">
        <f t="shared" si="24"/>
        <v>1</v>
      </c>
    </row>
    <row r="28" spans="1:18" x14ac:dyDescent="0.3">
      <c r="A28" t="s">
        <v>33</v>
      </c>
      <c r="C28" s="3">
        <f t="shared" ref="C28:D28" si="25">C2-C1</f>
        <v>-2.0833333333333333E-3</v>
      </c>
      <c r="D28" s="3">
        <f t="shared" si="25"/>
        <v>-2.7777777777777779E-3</v>
      </c>
      <c r="E28" s="3">
        <f t="shared" ref="E28:O28" si="26">E2-E1</f>
        <v>-3.472222222222222E-3</v>
      </c>
      <c r="F28" s="3">
        <f t="shared" si="26"/>
        <v>-4.1666666666666666E-3</v>
      </c>
      <c r="G28" s="3">
        <f t="shared" si="26"/>
        <v>-4.4444444444444436E-3</v>
      </c>
      <c r="H28" s="3">
        <f t="shared" si="26"/>
        <v>-5.0925925925925869E-3</v>
      </c>
      <c r="I28" s="3">
        <f t="shared" si="26"/>
        <v>-5.3240740740740748E-3</v>
      </c>
      <c r="J28" s="3">
        <f t="shared" si="26"/>
        <v>2.7546296296296338E-3</v>
      </c>
      <c r="K28" s="3">
        <f t="shared" si="26"/>
        <v>2.0601851851851831E-3</v>
      </c>
      <c r="L28" s="3">
        <f t="shared" si="26"/>
        <v>1.3657407407407438E-3</v>
      </c>
      <c r="M28" s="3">
        <f t="shared" si="26"/>
        <v>6.712962962962931E-4</v>
      </c>
      <c r="N28" s="3">
        <f t="shared" si="26"/>
        <v>-2.3148148148147141E-5</v>
      </c>
      <c r="O28" s="3">
        <f t="shared" si="26"/>
        <v>-7.1759259259262728E-4</v>
      </c>
      <c r="P28" s="3">
        <f t="shared" ref="P28:Q28" si="27">P2-P1</f>
        <v>-2.4537037037037027E-3</v>
      </c>
      <c r="Q28" s="3">
        <f t="shared" si="27"/>
        <v>2.3148148148148182E-4</v>
      </c>
      <c r="R28" t="s">
        <v>61</v>
      </c>
    </row>
    <row r="29" spans="1:18" x14ac:dyDescent="0.3">
      <c r="A29" t="s">
        <v>33</v>
      </c>
      <c r="C29" s="3">
        <f t="shared" ref="C29:D29" si="28">C1-C2</f>
        <v>2.0833333333333333E-3</v>
      </c>
      <c r="D29" s="3">
        <f t="shared" si="28"/>
        <v>2.7777777777777779E-3</v>
      </c>
      <c r="E29" s="3">
        <f t="shared" ref="E29:O29" si="29">E1-E2</f>
        <v>3.472222222222222E-3</v>
      </c>
      <c r="F29" s="3">
        <f t="shared" si="29"/>
        <v>4.1666666666666666E-3</v>
      </c>
      <c r="G29" s="3">
        <f t="shared" si="29"/>
        <v>4.4444444444444436E-3</v>
      </c>
      <c r="H29" s="3">
        <f t="shared" si="29"/>
        <v>5.0925925925925869E-3</v>
      </c>
      <c r="I29" s="3">
        <f t="shared" si="29"/>
        <v>5.3240740740740748E-3</v>
      </c>
      <c r="J29" s="3">
        <f t="shared" si="29"/>
        <v>-2.7546296296296338E-3</v>
      </c>
      <c r="K29" s="3">
        <f t="shared" si="29"/>
        <v>-2.0601851851851831E-3</v>
      </c>
      <c r="L29" s="3">
        <f t="shared" si="29"/>
        <v>-1.3657407407407438E-3</v>
      </c>
      <c r="M29" s="3">
        <f t="shared" si="29"/>
        <v>-6.712962962962931E-4</v>
      </c>
      <c r="N29" s="3">
        <f t="shared" si="29"/>
        <v>2.3148148148147141E-5</v>
      </c>
      <c r="O29" s="3">
        <f t="shared" si="29"/>
        <v>7.1759259259262728E-4</v>
      </c>
      <c r="P29" s="3">
        <f t="shared" ref="P29:Q29" si="30">P1-P2</f>
        <v>2.4537037037037027E-3</v>
      </c>
      <c r="Q29" s="3">
        <f t="shared" si="30"/>
        <v>-2.3148148148148182E-4</v>
      </c>
      <c r="R29" t="s">
        <v>62</v>
      </c>
    </row>
    <row r="31" spans="1:18" x14ac:dyDescent="0.3">
      <c r="A31" t="s">
        <v>38</v>
      </c>
      <c r="C31" s="12">
        <f>C40</f>
        <v>0.92307692307692313</v>
      </c>
      <c r="D31" s="12">
        <f t="shared" ref="D31:Q31" si="31">D40</f>
        <v>0.87179487179487181</v>
      </c>
      <c r="E31" s="12">
        <f t="shared" si="31"/>
        <v>0.87179487179487181</v>
      </c>
      <c r="F31" s="12">
        <f t="shared" si="31"/>
        <v>0.82051282051282048</v>
      </c>
      <c r="G31" s="12">
        <f t="shared" si="31"/>
        <v>0.79487179487179493</v>
      </c>
      <c r="H31" s="12">
        <f t="shared" si="31"/>
        <v>0.79487179487179493</v>
      </c>
      <c r="I31" s="12">
        <f t="shared" si="31"/>
        <v>0.79487179487179493</v>
      </c>
      <c r="J31" s="12">
        <f t="shared" si="31"/>
        <v>0.97435897435897434</v>
      </c>
      <c r="K31" s="12">
        <f t="shared" si="31"/>
        <v>0.97435897435897434</v>
      </c>
      <c r="L31" s="12">
        <f t="shared" si="31"/>
        <v>0.97435897435897434</v>
      </c>
      <c r="M31" s="12">
        <f t="shared" si="31"/>
        <v>0.97435897435897434</v>
      </c>
      <c r="N31" s="12">
        <f t="shared" si="31"/>
        <v>0.97435897435897434</v>
      </c>
      <c r="O31" s="12">
        <f t="shared" si="31"/>
        <v>0.97435897435897434</v>
      </c>
      <c r="P31" s="12">
        <f t="shared" si="31"/>
        <v>0.97435897435897434</v>
      </c>
      <c r="Q31" s="12">
        <f t="shared" si="31"/>
        <v>0.97435897435897434</v>
      </c>
    </row>
    <row r="32" spans="1:18" x14ac:dyDescent="0.3">
      <c r="C32">
        <v>80</v>
      </c>
      <c r="D32">
        <v>80</v>
      </c>
      <c r="E32">
        <v>60</v>
      </c>
      <c r="F32">
        <v>60</v>
      </c>
      <c r="G32">
        <v>80</v>
      </c>
      <c r="H32">
        <v>80</v>
      </c>
      <c r="I32">
        <v>80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100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1</v>
      </c>
      <c r="D38">
        <v>3</v>
      </c>
      <c r="E38">
        <v>3</v>
      </c>
      <c r="F38">
        <v>5</v>
      </c>
      <c r="G38">
        <v>8</v>
      </c>
      <c r="H38">
        <v>8</v>
      </c>
      <c r="I38">
        <v>8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0.92307692307692313</v>
      </c>
      <c r="D40" s="12">
        <f t="shared" ref="D40:Q40" si="32">1-SUM(D34:D39)/39</f>
        <v>0.87179487179487181</v>
      </c>
      <c r="E40" s="12">
        <f t="shared" si="32"/>
        <v>0.87179487179487181</v>
      </c>
      <c r="F40" s="12">
        <f t="shared" si="32"/>
        <v>0.82051282051282048</v>
      </c>
      <c r="G40" s="12">
        <f t="shared" si="32"/>
        <v>0.79487179487179493</v>
      </c>
      <c r="H40" s="12">
        <f t="shared" si="32"/>
        <v>0.79487179487179493</v>
      </c>
      <c r="I40" s="12">
        <f t="shared" si="32"/>
        <v>0.79487179487179493</v>
      </c>
      <c r="J40" s="12">
        <f t="shared" si="32"/>
        <v>0.97435897435897434</v>
      </c>
      <c r="K40" s="12">
        <f t="shared" si="32"/>
        <v>0.97435897435897434</v>
      </c>
      <c r="L40" s="12">
        <f t="shared" si="32"/>
        <v>0.97435897435897434</v>
      </c>
      <c r="M40" s="12">
        <f t="shared" si="32"/>
        <v>0.97435897435897434</v>
      </c>
      <c r="N40" s="12">
        <f t="shared" si="32"/>
        <v>0.97435897435897434</v>
      </c>
      <c r="O40" s="12">
        <f t="shared" si="32"/>
        <v>0.97435897435897434</v>
      </c>
      <c r="P40" s="12">
        <f t="shared" si="32"/>
        <v>0.97435897435897434</v>
      </c>
      <c r="Q40" s="12">
        <f t="shared" si="32"/>
        <v>0.97435897435897434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4C92-3462-4D51-B862-BD2D93DD5BA8}">
  <dimension ref="A1:X40"/>
  <sheetViews>
    <sheetView workbookViewId="0">
      <selection activeCell="C28" sqref="C28"/>
    </sheetView>
  </sheetViews>
  <sheetFormatPr defaultRowHeight="14.4" x14ac:dyDescent="0.3"/>
  <cols>
    <col min="1" max="17" width="10.6640625" customWidth="1"/>
  </cols>
  <sheetData>
    <row r="1" spans="1:24" x14ac:dyDescent="0.3">
      <c r="A1" s="1" t="s">
        <v>0</v>
      </c>
      <c r="B1" s="6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4" x14ac:dyDescent="0.3">
      <c r="A2" s="2" t="s">
        <v>2</v>
      </c>
      <c r="B2" s="7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2.0370370370370369E-3</v>
      </c>
      <c r="H2" s="22">
        <v>2.0601851851851853E-3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T2" t="s">
        <v>60</v>
      </c>
      <c r="X2" s="27">
        <v>0.48469907407407409</v>
      </c>
    </row>
    <row r="3" spans="1:24" x14ac:dyDescent="0.3">
      <c r="A3" s="2">
        <v>1700</v>
      </c>
      <c r="B3" s="7" t="s">
        <v>6</v>
      </c>
      <c r="C3" s="25">
        <v>7.407407407407407E-4</v>
      </c>
      <c r="D3" s="25">
        <v>1.5509259259259259E-3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3.7268518518518519E-3</v>
      </c>
      <c r="K3" s="3">
        <v>3.6805555555555554E-3</v>
      </c>
      <c r="L3" s="3">
        <v>6.1111111111111114E-3</v>
      </c>
      <c r="M3" s="3">
        <v>1.136574074074074E-2</v>
      </c>
      <c r="N3" s="3">
        <v>6.1111111111111114E-3</v>
      </c>
      <c r="O3" s="3">
        <v>3.7268518518518519E-3</v>
      </c>
      <c r="P3" s="3">
        <v>1.5509259259259259E-3</v>
      </c>
      <c r="Q3" s="3">
        <v>1.5509259259259259E-3</v>
      </c>
      <c r="R3" t="s">
        <v>7</v>
      </c>
      <c r="X3" s="11"/>
    </row>
    <row r="4" spans="1:24" x14ac:dyDescent="0.3">
      <c r="A4" s="2">
        <v>7000</v>
      </c>
      <c r="B4" s="7" t="s">
        <v>9</v>
      </c>
      <c r="C4" s="25">
        <v>6.9444444444444447E-4</v>
      </c>
      <c r="D4" s="25">
        <v>1.3888888888888889E-3</v>
      </c>
      <c r="E4" s="3">
        <v>2.0833333333333333E-3</v>
      </c>
      <c r="F4" s="3">
        <v>2.7777777777777779E-3</v>
      </c>
      <c r="G4" s="3">
        <v>4.3518518518518515E-3</v>
      </c>
      <c r="H4" s="3">
        <v>4.3981481481481484E-3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4" x14ac:dyDescent="0.3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4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2.6157407407407405E-3</v>
      </c>
      <c r="H6" s="3">
        <v>2.662037037037037E-3</v>
      </c>
      <c r="I6" s="3">
        <v>3.2407407407407406E-3</v>
      </c>
      <c r="J6" s="3">
        <v>3.9351851851851848E-3</v>
      </c>
      <c r="K6" s="3">
        <v>4.5138888888888885E-3</v>
      </c>
      <c r="L6" s="3">
        <v>5.208333333333333E-3</v>
      </c>
      <c r="M6" s="29">
        <v>1.1435185185185185E-2</v>
      </c>
      <c r="N6" s="3">
        <v>2.8009259259259259E-3</v>
      </c>
      <c r="O6" s="3">
        <v>0</v>
      </c>
      <c r="P6" s="3">
        <v>0</v>
      </c>
      <c r="Q6" s="3">
        <v>0</v>
      </c>
      <c r="R6" t="s">
        <v>14</v>
      </c>
    </row>
    <row r="7" spans="1:24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9.9537037037037042E-4</v>
      </c>
      <c r="H7" s="3">
        <v>1.0185185185185184E-3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4" x14ac:dyDescent="0.3">
      <c r="A8" s="2">
        <v>3600</v>
      </c>
      <c r="B8" s="7" t="s">
        <v>16</v>
      </c>
      <c r="C8" s="25">
        <v>2.3379629629629631E-3</v>
      </c>
      <c r="D8" s="25">
        <v>3.9814814814814817E-3</v>
      </c>
      <c r="E8" s="3">
        <v>4.6759259259259263E-3</v>
      </c>
      <c r="F8" s="3">
        <v>5.37037037037037E-3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4" x14ac:dyDescent="0.3">
      <c r="A9" s="2">
        <v>20350</v>
      </c>
      <c r="B9" s="7" t="s">
        <v>18</v>
      </c>
      <c r="C9" s="24">
        <v>0</v>
      </c>
      <c r="D9" s="24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4" x14ac:dyDescent="0.3">
      <c r="A10" s="4">
        <v>31200</v>
      </c>
      <c r="B10" s="4" t="s">
        <v>18</v>
      </c>
      <c r="C10" s="26">
        <v>2.1990740740740742E-3</v>
      </c>
      <c r="D10" s="25">
        <v>2.8935185185185184E-3</v>
      </c>
      <c r="E10" s="3">
        <v>3.5879629629629629E-3</v>
      </c>
      <c r="F10" s="3">
        <v>4.2824074074074075E-3</v>
      </c>
      <c r="G10" s="3">
        <v>1.1574074074074075E-4</v>
      </c>
      <c r="H10" s="3">
        <v>1.1574074074074075E-4</v>
      </c>
      <c r="I10" s="3">
        <v>1.1574074074074075E-4</v>
      </c>
      <c r="J10" s="3">
        <v>1.1574074074074075E-4</v>
      </c>
      <c r="K10" s="3">
        <v>1.1574074074074075E-4</v>
      </c>
      <c r="L10" s="3">
        <v>1.1574074074074075E-4</v>
      </c>
      <c r="M10" s="3">
        <v>1.1574074074074075E-4</v>
      </c>
      <c r="N10" s="3">
        <v>1.1574074074074075E-4</v>
      </c>
      <c r="O10" s="3">
        <v>1.1574074074074075E-4</v>
      </c>
      <c r="P10" s="3">
        <v>1.1574074074074075E-4</v>
      </c>
      <c r="Q10" s="3">
        <v>1.1574074074074075E-4</v>
      </c>
    </row>
    <row r="11" spans="1:24" x14ac:dyDescent="0.3">
      <c r="A11" s="2">
        <v>31200</v>
      </c>
      <c r="B11" s="2" t="s">
        <v>24</v>
      </c>
      <c r="C11" s="26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4" x14ac:dyDescent="0.3">
      <c r="A12" s="2">
        <v>7900</v>
      </c>
      <c r="B12" s="2" t="s">
        <v>16</v>
      </c>
      <c r="C12" s="26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6.9444444444444447E-4</v>
      </c>
      <c r="L12" s="3">
        <v>1.3888888888888889E-3</v>
      </c>
      <c r="M12" s="3">
        <v>7.6157407407407406E-3</v>
      </c>
      <c r="N12" s="3">
        <v>0</v>
      </c>
      <c r="O12" s="3">
        <v>0</v>
      </c>
      <c r="P12" s="3">
        <v>0</v>
      </c>
      <c r="Q12" s="3">
        <v>0</v>
      </c>
    </row>
    <row r="13" spans="1:24" x14ac:dyDescent="0.3">
      <c r="A13" s="9" t="s">
        <v>25</v>
      </c>
      <c r="B13" s="9"/>
      <c r="C13" s="10">
        <f t="shared" ref="C13:Q13" si="0">SUM(C3:C8)</f>
        <v>4.3287037037037044E-3</v>
      </c>
      <c r="D13" s="10">
        <f t="shared" si="0"/>
        <v>8.5416666666666662E-3</v>
      </c>
      <c r="E13" s="10">
        <f t="shared" si="0"/>
        <v>1.2962962962962964E-2</v>
      </c>
      <c r="F13" s="10">
        <f t="shared" si="0"/>
        <v>1.5740740740740739E-2</v>
      </c>
      <c r="G13" s="10">
        <f t="shared" si="0"/>
        <v>2.0277777777777777E-2</v>
      </c>
      <c r="H13" s="10">
        <f t="shared" si="0"/>
        <v>2.0393518518518519E-2</v>
      </c>
      <c r="I13" s="10">
        <f t="shared" si="0"/>
        <v>2.1620370370370373E-2</v>
      </c>
      <c r="J13" s="10">
        <f t="shared" si="0"/>
        <v>8.611111111111111E-3</v>
      </c>
      <c r="K13" s="10">
        <f t="shared" si="0"/>
        <v>9.1435185185185178E-3</v>
      </c>
      <c r="L13" s="10">
        <f t="shared" si="0"/>
        <v>1.2268518518518519E-2</v>
      </c>
      <c r="M13" s="10">
        <f t="shared" si="0"/>
        <v>2.375E-2</v>
      </c>
      <c r="N13" s="10">
        <f t="shared" si="0"/>
        <v>9.8611111111111122E-3</v>
      </c>
      <c r="O13" s="10">
        <f t="shared" si="0"/>
        <v>4.6759259259259263E-3</v>
      </c>
      <c r="P13" s="10">
        <f t="shared" si="0"/>
        <v>3.8657407407407403E-3</v>
      </c>
      <c r="Q13" s="10">
        <f t="shared" si="0"/>
        <v>3.8657407407407403E-3</v>
      </c>
    </row>
    <row r="15" spans="1:24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4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</row>
    <row r="17" spans="1:18" x14ac:dyDescent="0.3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1</v>
      </c>
      <c r="E17" t="b">
        <f t="shared" si="5"/>
        <v>0</v>
      </c>
      <c r="F17" t="b">
        <f t="shared" ref="F17:O17" si="9">F4&lt;3/1440</f>
        <v>0</v>
      </c>
      <c r="G17" t="b">
        <f t="shared" si="9"/>
        <v>0</v>
      </c>
      <c r="H17" t="b">
        <f t="shared" si="9"/>
        <v>0</v>
      </c>
      <c r="I17" t="b">
        <f t="shared" si="9"/>
        <v>0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</row>
    <row r="18" spans="1:18" x14ac:dyDescent="0.3">
      <c r="A18" s="2">
        <v>31200</v>
      </c>
      <c r="B18" s="2" t="s">
        <v>11</v>
      </c>
      <c r="C18" t="b">
        <f t="shared" ref="C18:D18" si="11">C5&lt;3/1440</f>
        <v>1</v>
      </c>
      <c r="D18" t="b">
        <f t="shared" si="11"/>
        <v>1</v>
      </c>
      <c r="E18" t="b">
        <f t="shared" si="5"/>
        <v>0</v>
      </c>
      <c r="F18" t="b">
        <f t="shared" ref="F18:O18" si="12">F5&lt;3/1440</f>
        <v>0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18" x14ac:dyDescent="0.3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0</v>
      </c>
      <c r="H19" t="b">
        <f t="shared" si="15"/>
        <v>0</v>
      </c>
      <c r="I19" t="b">
        <f t="shared" si="15"/>
        <v>0</v>
      </c>
      <c r="J19" t="b">
        <f t="shared" si="15"/>
        <v>0</v>
      </c>
      <c r="K19" t="b">
        <f t="shared" si="15"/>
        <v>0</v>
      </c>
      <c r="L19" t="b">
        <f t="shared" si="15"/>
        <v>0</v>
      </c>
      <c r="M19" t="b">
        <f t="shared" si="15"/>
        <v>0</v>
      </c>
      <c r="N19" t="b">
        <f t="shared" si="15"/>
        <v>0</v>
      </c>
      <c r="O19" t="b">
        <f t="shared" si="15"/>
        <v>1</v>
      </c>
      <c r="P19" t="b">
        <f t="shared" ref="P19:Q19" si="16">P6&lt;3/1440</f>
        <v>1</v>
      </c>
      <c r="Q19" t="b">
        <f t="shared" si="16"/>
        <v>1</v>
      </c>
    </row>
    <row r="20" spans="1:18" x14ac:dyDescent="0.3">
      <c r="A20" s="2">
        <v>31300</v>
      </c>
      <c r="B20" s="2" t="s">
        <v>3</v>
      </c>
      <c r="C20" t="b">
        <f t="shared" ref="C20:D21" si="17">C7&lt;3/1440</f>
        <v>1</v>
      </c>
      <c r="D20" t="b">
        <f t="shared" si="17"/>
        <v>1</v>
      </c>
      <c r="E20" t="b">
        <f t="shared" si="5"/>
        <v>1</v>
      </c>
      <c r="F20" t="b">
        <f t="shared" ref="F20:O21" si="18">F7&lt;3/1440</f>
        <v>1</v>
      </c>
      <c r="G20" t="b">
        <f t="shared" si="18"/>
        <v>1</v>
      </c>
      <c r="H20" t="b">
        <f t="shared" si="18"/>
        <v>1</v>
      </c>
      <c r="I20" t="b">
        <f t="shared" si="18"/>
        <v>1</v>
      </c>
      <c r="J20" t="b">
        <f t="shared" si="18"/>
        <v>1</v>
      </c>
      <c r="K20" t="b">
        <f t="shared" si="18"/>
        <v>1</v>
      </c>
      <c r="L20" t="b">
        <f t="shared" si="18"/>
        <v>1</v>
      </c>
      <c r="M20" t="b">
        <f t="shared" si="18"/>
        <v>1</v>
      </c>
      <c r="N20" t="b">
        <f t="shared" si="18"/>
        <v>1</v>
      </c>
      <c r="O20" t="b">
        <f t="shared" si="18"/>
        <v>1</v>
      </c>
      <c r="P20" t="b">
        <f t="shared" ref="P20:Q21" si="19">P7&lt;3/1440</f>
        <v>1</v>
      </c>
      <c r="Q20" t="b">
        <f t="shared" si="19"/>
        <v>1</v>
      </c>
    </row>
    <row r="21" spans="1:18" x14ac:dyDescent="0.3">
      <c r="A21" s="2">
        <v>3600</v>
      </c>
      <c r="B21" s="2" t="s">
        <v>16</v>
      </c>
      <c r="C21" t="b">
        <f t="shared" si="17"/>
        <v>0</v>
      </c>
      <c r="D21" t="b">
        <f t="shared" si="17"/>
        <v>0</v>
      </c>
      <c r="E21" t="b">
        <f t="shared" si="5"/>
        <v>0</v>
      </c>
      <c r="F21" t="b">
        <f t="shared" si="18"/>
        <v>0</v>
      </c>
      <c r="G21" t="b">
        <f t="shared" si="18"/>
        <v>1</v>
      </c>
      <c r="H21" t="b">
        <f t="shared" si="18"/>
        <v>1</v>
      </c>
      <c r="I21" t="b">
        <f t="shared" si="18"/>
        <v>1</v>
      </c>
      <c r="J21" t="b">
        <f t="shared" si="18"/>
        <v>1</v>
      </c>
      <c r="K21" t="b">
        <f t="shared" si="18"/>
        <v>1</v>
      </c>
      <c r="L21" t="b">
        <f t="shared" si="18"/>
        <v>1</v>
      </c>
      <c r="M21" t="b">
        <f t="shared" si="18"/>
        <v>1</v>
      </c>
      <c r="N21" t="b">
        <f t="shared" si="18"/>
        <v>1</v>
      </c>
      <c r="O21" t="b">
        <f t="shared" si="18"/>
        <v>1</v>
      </c>
      <c r="P21" t="b">
        <f t="shared" si="19"/>
        <v>1</v>
      </c>
      <c r="Q21" t="b">
        <f t="shared" si="19"/>
        <v>1</v>
      </c>
    </row>
    <row r="22" spans="1:18" x14ac:dyDescent="0.3">
      <c r="A22" s="2">
        <v>20350</v>
      </c>
      <c r="B22" s="2" t="s">
        <v>18</v>
      </c>
      <c r="C22" t="b">
        <f t="shared" ref="C22:Q22" si="20">C9&lt;3/1440</f>
        <v>1</v>
      </c>
      <c r="D22" t="b">
        <f t="shared" si="20"/>
        <v>1</v>
      </c>
      <c r="E22" t="b">
        <f t="shared" si="20"/>
        <v>1</v>
      </c>
      <c r="F22" t="b">
        <f t="shared" si="20"/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si="20"/>
        <v>1</v>
      </c>
      <c r="Q22" t="b">
        <f t="shared" si="20"/>
        <v>1</v>
      </c>
    </row>
    <row r="23" spans="1:18" x14ac:dyDescent="0.3">
      <c r="A23" s="2">
        <v>31200</v>
      </c>
      <c r="B23" s="2" t="s">
        <v>18</v>
      </c>
      <c r="C23" t="b">
        <f t="shared" ref="C23:Q23" si="21">C10&lt;3/1440</f>
        <v>0</v>
      </c>
      <c r="D23" t="b">
        <f t="shared" si="21"/>
        <v>0</v>
      </c>
      <c r="E23" t="b">
        <f t="shared" si="21"/>
        <v>0</v>
      </c>
      <c r="F23" t="b">
        <f t="shared" si="21"/>
        <v>0</v>
      </c>
      <c r="G23" t="b">
        <f t="shared" si="21"/>
        <v>1</v>
      </c>
      <c r="H23" t="b">
        <f t="shared" si="21"/>
        <v>1</v>
      </c>
      <c r="I23" t="b">
        <f t="shared" si="21"/>
        <v>1</v>
      </c>
      <c r="J23" t="b">
        <f t="shared" si="21"/>
        <v>1</v>
      </c>
      <c r="K23" t="b">
        <f t="shared" si="21"/>
        <v>1</v>
      </c>
      <c r="L23" t="b">
        <f t="shared" si="21"/>
        <v>1</v>
      </c>
      <c r="M23" t="b">
        <f t="shared" si="21"/>
        <v>1</v>
      </c>
      <c r="N23" t="b">
        <f t="shared" si="21"/>
        <v>1</v>
      </c>
      <c r="O23" t="b">
        <f t="shared" si="21"/>
        <v>1</v>
      </c>
      <c r="P23" t="b">
        <f t="shared" si="21"/>
        <v>1</v>
      </c>
      <c r="Q23" t="b">
        <f t="shared" si="21"/>
        <v>1</v>
      </c>
    </row>
    <row r="24" spans="1:18" x14ac:dyDescent="0.3">
      <c r="A24" s="2">
        <v>31200</v>
      </c>
      <c r="B24" s="2" t="s">
        <v>24</v>
      </c>
      <c r="C24" t="b">
        <f t="shared" ref="C24:D24" si="22">C11&lt;3/1440</f>
        <v>1</v>
      </c>
      <c r="D24" t="b">
        <f t="shared" si="22"/>
        <v>1</v>
      </c>
      <c r="E24" t="b">
        <f t="shared" ref="E24:O25" si="23">E11&lt;3/1440</f>
        <v>1</v>
      </c>
      <c r="F24" t="b">
        <f t="shared" si="23"/>
        <v>1</v>
      </c>
      <c r="G24" t="b">
        <f t="shared" si="23"/>
        <v>1</v>
      </c>
      <c r="H24" t="b">
        <f t="shared" si="23"/>
        <v>1</v>
      </c>
      <c r="I24" t="b">
        <f t="shared" si="23"/>
        <v>1</v>
      </c>
      <c r="J24" t="b">
        <f t="shared" si="23"/>
        <v>1</v>
      </c>
      <c r="K24" t="b">
        <f t="shared" si="23"/>
        <v>1</v>
      </c>
      <c r="L24" t="b">
        <f t="shared" si="23"/>
        <v>1</v>
      </c>
      <c r="M24" t="b">
        <f t="shared" si="23"/>
        <v>1</v>
      </c>
      <c r="N24" t="b">
        <f t="shared" si="23"/>
        <v>1</v>
      </c>
      <c r="O24" t="b">
        <f t="shared" si="23"/>
        <v>1</v>
      </c>
      <c r="P24" t="b">
        <f t="shared" ref="P24:Q24" si="24">P11&lt;3/1440</f>
        <v>1</v>
      </c>
      <c r="Q24" t="b">
        <f t="shared" si="24"/>
        <v>1</v>
      </c>
    </row>
    <row r="25" spans="1:18" x14ac:dyDescent="0.3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si="23"/>
        <v>1</v>
      </c>
      <c r="F25" t="b">
        <f t="shared" si="23"/>
        <v>1</v>
      </c>
      <c r="G25" t="b">
        <f t="shared" si="23"/>
        <v>1</v>
      </c>
      <c r="H25" t="b">
        <f t="shared" si="23"/>
        <v>1</v>
      </c>
      <c r="I25" t="b">
        <f t="shared" si="23"/>
        <v>1</v>
      </c>
      <c r="J25" t="b">
        <f t="shared" si="23"/>
        <v>1</v>
      </c>
      <c r="K25" t="b">
        <f t="shared" si="23"/>
        <v>1</v>
      </c>
      <c r="L25" t="b">
        <f t="shared" si="23"/>
        <v>1</v>
      </c>
      <c r="M25" t="b">
        <f t="shared" si="23"/>
        <v>0</v>
      </c>
      <c r="N25" t="b">
        <f t="shared" si="23"/>
        <v>1</v>
      </c>
      <c r="O25" t="b">
        <f t="shared" si="23"/>
        <v>1</v>
      </c>
      <c r="P25" t="b">
        <f t="shared" ref="P25:Q25" si="26">P12&lt;3/1440</f>
        <v>1</v>
      </c>
      <c r="Q25" t="b">
        <f t="shared" si="26"/>
        <v>1</v>
      </c>
    </row>
    <row r="26" spans="1:18" x14ac:dyDescent="0.3">
      <c r="A26" t="s">
        <v>31</v>
      </c>
      <c r="C26" s="12">
        <f>COUNTIF(C16:C21,TRUE) / 6</f>
        <v>0.83333333333333337</v>
      </c>
      <c r="D26" s="12">
        <f t="shared" ref="D26:Q26" si="27">COUNTIF(D16:D21,TRUE) / 6</f>
        <v>0.83333333333333337</v>
      </c>
      <c r="E26" s="12">
        <f t="shared" si="27"/>
        <v>0.33333333333333331</v>
      </c>
      <c r="F26" s="12">
        <f t="shared" si="27"/>
        <v>0.33333333333333331</v>
      </c>
      <c r="G26" s="12">
        <f t="shared" si="27"/>
        <v>0.5</v>
      </c>
      <c r="H26" s="12">
        <f t="shared" si="27"/>
        <v>0.5</v>
      </c>
      <c r="I26" s="12">
        <f t="shared" si="27"/>
        <v>0.5</v>
      </c>
      <c r="J26" s="12">
        <f t="shared" si="27"/>
        <v>0.66666666666666663</v>
      </c>
      <c r="K26" s="12">
        <f t="shared" si="27"/>
        <v>0.66666666666666663</v>
      </c>
      <c r="L26" s="12">
        <f t="shared" si="27"/>
        <v>0.66666666666666663</v>
      </c>
      <c r="M26" s="12">
        <f t="shared" si="27"/>
        <v>0.66666666666666663</v>
      </c>
      <c r="N26" s="12">
        <f t="shared" si="27"/>
        <v>0.66666666666666663</v>
      </c>
      <c r="O26" s="12">
        <f t="shared" si="27"/>
        <v>0.83333333333333337</v>
      </c>
      <c r="P26" s="12">
        <f t="shared" si="27"/>
        <v>1</v>
      </c>
      <c r="Q26" s="12">
        <f t="shared" si="27"/>
        <v>1</v>
      </c>
    </row>
    <row r="28" spans="1:18" x14ac:dyDescent="0.3">
      <c r="A28" t="s">
        <v>33</v>
      </c>
      <c r="C28" s="3">
        <f t="shared" ref="C28:D28" si="28">C2-C1</f>
        <v>-2.0833333333333333E-3</v>
      </c>
      <c r="D28" s="3">
        <f t="shared" si="28"/>
        <v>-2.7777777777777779E-3</v>
      </c>
      <c r="E28" s="3">
        <f t="shared" ref="E28:O28" si="29">E2-E1</f>
        <v>-3.472222222222222E-3</v>
      </c>
      <c r="F28" s="3">
        <f t="shared" si="29"/>
        <v>-4.0046296296296297E-3</v>
      </c>
      <c r="G28" s="3">
        <f t="shared" si="29"/>
        <v>-2.8240740740740735E-3</v>
      </c>
      <c r="H28" s="3">
        <f t="shared" si="29"/>
        <v>-3.4953703703703644E-3</v>
      </c>
      <c r="I28" s="3">
        <f t="shared" si="29"/>
        <v>-4.0046296296296306E-3</v>
      </c>
      <c r="J28" s="3">
        <f t="shared" si="29"/>
        <v>2.7546296296296338E-3</v>
      </c>
      <c r="K28" s="3">
        <f t="shared" si="29"/>
        <v>2.0601851851851831E-3</v>
      </c>
      <c r="L28" s="3">
        <f t="shared" si="29"/>
        <v>1.3657407407407438E-3</v>
      </c>
      <c r="M28" s="3">
        <f t="shared" si="29"/>
        <v>6.712962962962931E-4</v>
      </c>
      <c r="N28" s="3">
        <f t="shared" si="29"/>
        <v>-2.3148148148147141E-5</v>
      </c>
      <c r="O28" s="3">
        <f t="shared" si="29"/>
        <v>-7.1759259259262728E-4</v>
      </c>
      <c r="P28" s="3">
        <f t="shared" ref="P28:Q28" si="30">P2-P1</f>
        <v>3.7037037037037056E-3</v>
      </c>
      <c r="Q28" s="3">
        <f t="shared" si="30"/>
        <v>2.3148148148148182E-4</v>
      </c>
      <c r="R28" t="s">
        <v>61</v>
      </c>
    </row>
    <row r="29" spans="1:18" x14ac:dyDescent="0.3">
      <c r="A29" t="s">
        <v>33</v>
      </c>
      <c r="C29" s="3">
        <f t="shared" ref="C29:D29" si="31">C1-C2</f>
        <v>2.0833333333333333E-3</v>
      </c>
      <c r="D29" s="3">
        <f t="shared" si="31"/>
        <v>2.7777777777777779E-3</v>
      </c>
      <c r="E29" s="3">
        <f t="shared" ref="E29:O29" si="32">E1-E2</f>
        <v>3.472222222222222E-3</v>
      </c>
      <c r="F29" s="3">
        <f t="shared" si="32"/>
        <v>4.0046296296296297E-3</v>
      </c>
      <c r="G29" s="3">
        <f t="shared" si="32"/>
        <v>2.8240740740740735E-3</v>
      </c>
      <c r="H29" s="3">
        <f t="shared" si="32"/>
        <v>3.4953703703703644E-3</v>
      </c>
      <c r="I29" s="3">
        <f t="shared" si="32"/>
        <v>4.0046296296296306E-3</v>
      </c>
      <c r="J29" s="3">
        <f t="shared" si="32"/>
        <v>-2.7546296296296338E-3</v>
      </c>
      <c r="K29" s="3">
        <f t="shared" si="32"/>
        <v>-2.0601851851851831E-3</v>
      </c>
      <c r="L29" s="3">
        <f t="shared" si="32"/>
        <v>-1.3657407407407438E-3</v>
      </c>
      <c r="M29" s="3">
        <f t="shared" si="32"/>
        <v>-6.712962962962931E-4</v>
      </c>
      <c r="N29" s="3">
        <f t="shared" si="32"/>
        <v>2.3148148148147141E-5</v>
      </c>
      <c r="O29" s="3">
        <f t="shared" si="32"/>
        <v>7.1759259259262728E-4</v>
      </c>
      <c r="P29" s="3">
        <f t="shared" ref="P29:Q29" si="33">P1-P2</f>
        <v>-3.7037037037037056E-3</v>
      </c>
      <c r="Q29" s="3">
        <f t="shared" si="33"/>
        <v>-2.3148148148148182E-4</v>
      </c>
      <c r="R29" t="s">
        <v>62</v>
      </c>
    </row>
    <row r="31" spans="1:18" x14ac:dyDescent="0.3">
      <c r="A31" t="s">
        <v>38</v>
      </c>
      <c r="C31" s="12">
        <f>C40</f>
        <v>0.87179487179487181</v>
      </c>
      <c r="D31" s="12">
        <f t="shared" ref="D31:Q31" si="34">D40</f>
        <v>0.82051282051282048</v>
      </c>
      <c r="E31" s="12">
        <f t="shared" si="34"/>
        <v>0.82051282051282048</v>
      </c>
      <c r="F31" s="12">
        <f t="shared" si="34"/>
        <v>0.79487179487179493</v>
      </c>
      <c r="G31" s="12">
        <f t="shared" si="34"/>
        <v>0.97435897435897434</v>
      </c>
      <c r="H31" s="12">
        <f t="shared" si="34"/>
        <v>0.97435897435897434</v>
      </c>
      <c r="I31" s="12">
        <f t="shared" si="34"/>
        <v>0.97435897435897434</v>
      </c>
      <c r="J31" s="12">
        <f t="shared" si="34"/>
        <v>0.97435897435897434</v>
      </c>
      <c r="K31" s="12">
        <f t="shared" si="34"/>
        <v>0.97435897435897434</v>
      </c>
      <c r="L31" s="12">
        <f t="shared" si="34"/>
        <v>0.97435897435897434</v>
      </c>
      <c r="M31" s="12">
        <f t="shared" si="34"/>
        <v>0.74358974358974361</v>
      </c>
      <c r="N31" s="12">
        <f t="shared" si="34"/>
        <v>0.97435897435897434</v>
      </c>
      <c r="O31" s="12">
        <f t="shared" si="34"/>
        <v>0.97435897435897434</v>
      </c>
      <c r="P31" s="12">
        <f t="shared" si="34"/>
        <v>0.97435897435897434</v>
      </c>
      <c r="Q31" s="12">
        <f t="shared" si="34"/>
        <v>0.97435897435897434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9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3</v>
      </c>
      <c r="D38">
        <v>5</v>
      </c>
      <c r="E38">
        <v>5</v>
      </c>
      <c r="F38">
        <v>6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0.87179487179487181</v>
      </c>
      <c r="D40" s="12">
        <f t="shared" ref="D40:Q40" si="35">1-SUM(D34:D39)/39</f>
        <v>0.82051282051282048</v>
      </c>
      <c r="E40" s="12">
        <f t="shared" si="35"/>
        <v>0.82051282051282048</v>
      </c>
      <c r="F40" s="12">
        <f t="shared" si="35"/>
        <v>0.79487179487179493</v>
      </c>
      <c r="G40" s="12">
        <f t="shared" si="35"/>
        <v>0.97435897435897434</v>
      </c>
      <c r="H40" s="12">
        <f t="shared" si="35"/>
        <v>0.97435897435897434</v>
      </c>
      <c r="I40" s="12">
        <f t="shared" si="35"/>
        <v>0.97435897435897434</v>
      </c>
      <c r="J40" s="12">
        <f t="shared" si="35"/>
        <v>0.97435897435897434</v>
      </c>
      <c r="K40" s="12">
        <f t="shared" si="35"/>
        <v>0.97435897435897434</v>
      </c>
      <c r="L40" s="12">
        <f t="shared" si="35"/>
        <v>0.97435897435897434</v>
      </c>
      <c r="M40" s="12">
        <f t="shared" si="35"/>
        <v>0.74358974358974361</v>
      </c>
      <c r="N40" s="12">
        <f t="shared" si="35"/>
        <v>0.97435897435897434</v>
      </c>
      <c r="O40" s="12">
        <f t="shared" si="35"/>
        <v>0.97435897435897434</v>
      </c>
      <c r="P40" s="12">
        <f t="shared" si="35"/>
        <v>0.97435897435897434</v>
      </c>
      <c r="Q40" s="12">
        <f t="shared" si="35"/>
        <v>0.97435897435897434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33E61-6E48-4ADB-A369-A65804939B45}">
  <dimension ref="A1:T40"/>
  <sheetViews>
    <sheetView topLeftCell="A2" workbookViewId="0">
      <selection activeCell="S35" sqref="S35"/>
    </sheetView>
  </sheetViews>
  <sheetFormatPr defaultRowHeight="14.4" x14ac:dyDescent="0.3"/>
  <cols>
    <col min="1" max="17" width="10.6640625" customWidth="1"/>
  </cols>
  <sheetData>
    <row r="1" spans="1:20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x14ac:dyDescent="0.3">
      <c r="A2" s="20" t="s">
        <v>2</v>
      </c>
      <c r="B2" s="21" t="s">
        <v>3</v>
      </c>
      <c r="C2" s="30" t="s">
        <v>21</v>
      </c>
      <c r="D2" s="30" t="s">
        <v>21</v>
      </c>
      <c r="E2" s="22" t="s">
        <v>21</v>
      </c>
      <c r="F2" s="22" t="s">
        <v>21</v>
      </c>
      <c r="G2" s="22" t="s">
        <v>21</v>
      </c>
      <c r="H2" s="22" t="s">
        <v>21</v>
      </c>
      <c r="I2" s="22" t="s">
        <v>21</v>
      </c>
      <c r="J2" s="22" t="s">
        <v>21</v>
      </c>
      <c r="K2" s="22" t="s">
        <v>21</v>
      </c>
      <c r="L2" s="22" t="s">
        <v>21</v>
      </c>
      <c r="M2" s="22" t="s">
        <v>21</v>
      </c>
      <c r="N2" s="22" t="s">
        <v>21</v>
      </c>
      <c r="O2" s="22" t="s">
        <v>21</v>
      </c>
      <c r="P2" s="22" t="s">
        <v>21</v>
      </c>
      <c r="Q2" s="22" t="s">
        <v>21</v>
      </c>
      <c r="R2" t="s">
        <v>4</v>
      </c>
      <c r="T2" t="s">
        <v>64</v>
      </c>
    </row>
    <row r="3" spans="1:20" x14ac:dyDescent="0.3">
      <c r="A3" s="2">
        <v>1700</v>
      </c>
      <c r="B3" s="7" t="s">
        <v>6</v>
      </c>
      <c r="C3" s="25">
        <v>1.8518518518518519E-3</v>
      </c>
      <c r="D3" s="25">
        <v>1.8518518518518519E-3</v>
      </c>
      <c r="E3" s="3">
        <v>1.0879629629629629E-3</v>
      </c>
      <c r="F3" s="3">
        <v>1.5277777777777779E-3</v>
      </c>
      <c r="G3" s="3">
        <v>1.136574074074074E-2</v>
      </c>
      <c r="H3" s="3">
        <v>1.136574074074074E-2</v>
      </c>
      <c r="I3" s="3">
        <v>1.136574074074074E-2</v>
      </c>
      <c r="J3" s="3">
        <v>2.0833333333333333E-3</v>
      </c>
      <c r="K3" s="3">
        <v>2.0833333333333333E-3</v>
      </c>
      <c r="L3" s="3">
        <v>1.136574074074074E-2</v>
      </c>
      <c r="M3" s="3">
        <v>1.136574074074074E-2</v>
      </c>
      <c r="N3" s="3">
        <v>1.136574074074074E-2</v>
      </c>
      <c r="O3" s="3">
        <v>1.136574074074074E-2</v>
      </c>
      <c r="P3" s="3">
        <v>1.5509259259259259E-3</v>
      </c>
      <c r="Q3" s="3">
        <v>1.5509259259259259E-3</v>
      </c>
      <c r="R3" t="s">
        <v>7</v>
      </c>
    </row>
    <row r="4" spans="1:20" x14ac:dyDescent="0.3">
      <c r="A4" s="2">
        <v>7000</v>
      </c>
      <c r="B4" s="7" t="s">
        <v>9</v>
      </c>
      <c r="C4" s="25">
        <v>1.6666666666666668E-3</v>
      </c>
      <c r="D4" s="25">
        <v>1.6666666666666668E-3</v>
      </c>
      <c r="E4" s="3">
        <v>9.2592592592592596E-4</v>
      </c>
      <c r="F4" s="3">
        <v>1.3657407407407407E-3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x14ac:dyDescent="0.3">
      <c r="A5" s="2">
        <v>31200</v>
      </c>
      <c r="B5" s="7" t="s">
        <v>11</v>
      </c>
      <c r="C5" s="25">
        <v>4.3981481481481481E-4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t="s">
        <v>14</v>
      </c>
    </row>
    <row r="7" spans="1:20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x14ac:dyDescent="0.3">
      <c r="A8" s="2">
        <v>3600</v>
      </c>
      <c r="B8" s="7" t="s">
        <v>16</v>
      </c>
      <c r="C8" s="3">
        <v>9.4907407407407408E-4</v>
      </c>
      <c r="D8" s="3">
        <v>9.4907407407407408E-4</v>
      </c>
      <c r="E8" s="3">
        <v>9.4907407407407408E-4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 x14ac:dyDescent="0.3">
      <c r="A9" s="2">
        <v>20350</v>
      </c>
      <c r="B9" s="7" t="s">
        <v>18</v>
      </c>
      <c r="C9" s="22">
        <v>0</v>
      </c>
      <c r="D9" s="22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3">
        <v>6.9444444444444447E-4</v>
      </c>
      <c r="P9" s="22">
        <v>0</v>
      </c>
      <c r="Q9" s="22">
        <v>0</v>
      </c>
      <c r="R9" t="s">
        <v>19</v>
      </c>
    </row>
    <row r="10" spans="1:20" x14ac:dyDescent="0.3">
      <c r="A10" s="4">
        <v>31200</v>
      </c>
      <c r="B10" s="8" t="s">
        <v>18</v>
      </c>
      <c r="C10" s="28">
        <v>2.3148148148148147E-3</v>
      </c>
      <c r="D10" s="28">
        <v>2.8935185185185184E-3</v>
      </c>
      <c r="E10" s="5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x14ac:dyDescent="0.3">
      <c r="A11" s="2">
        <v>31200</v>
      </c>
      <c r="B11" s="7" t="s">
        <v>24</v>
      </c>
      <c r="C11" s="3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 x14ac:dyDescent="0.3">
      <c r="A13" s="9" t="s">
        <v>25</v>
      </c>
      <c r="B13" s="9"/>
      <c r="C13" s="10">
        <f t="shared" ref="C13:Q13" si="0">SUM(C3:C8)</f>
        <v>4.9074074074074081E-3</v>
      </c>
      <c r="D13" s="10">
        <f t="shared" si="0"/>
        <v>6.0879629629629643E-3</v>
      </c>
      <c r="E13" s="10">
        <f t="shared" si="0"/>
        <v>6.898148148148148E-3</v>
      </c>
      <c r="F13" s="10">
        <f t="shared" si="0"/>
        <v>8.4722222222222213E-3</v>
      </c>
      <c r="G13" s="10">
        <f t="shared" si="0"/>
        <v>1.2314814814814815E-2</v>
      </c>
      <c r="H13" s="10">
        <f t="shared" si="0"/>
        <v>1.2314814814814815E-2</v>
      </c>
      <c r="I13" s="10">
        <f t="shared" si="0"/>
        <v>1.2314814814814815E-2</v>
      </c>
      <c r="J13" s="10">
        <f t="shared" si="0"/>
        <v>3.0324074074074073E-3</v>
      </c>
      <c r="K13" s="10">
        <f t="shared" si="0"/>
        <v>3.0324074074074073E-3</v>
      </c>
      <c r="L13" s="10">
        <f t="shared" si="0"/>
        <v>1.2314814814814815E-2</v>
      </c>
      <c r="M13" s="10">
        <f t="shared" si="0"/>
        <v>1.2314814814814815E-2</v>
      </c>
      <c r="N13" s="10">
        <f t="shared" si="0"/>
        <v>1.2314814814814815E-2</v>
      </c>
      <c r="O13" s="10">
        <f t="shared" si="0"/>
        <v>1.2314814814814815E-2</v>
      </c>
      <c r="P13" s="10">
        <f t="shared" si="0"/>
        <v>3.8657407407407403E-3</v>
      </c>
      <c r="Q13" s="10">
        <f t="shared" si="0"/>
        <v>3.8657407407407403E-3</v>
      </c>
    </row>
    <row r="15" spans="1:20" x14ac:dyDescent="0.3">
      <c r="A15" s="2" t="s">
        <v>2</v>
      </c>
      <c r="B15" s="2" t="s">
        <v>3</v>
      </c>
      <c r="C15" t="b">
        <f t="shared" ref="C15:D15" si="1">C2&lt;6/1440</f>
        <v>0</v>
      </c>
      <c r="D15" t="b">
        <f t="shared" si="1"/>
        <v>0</v>
      </c>
      <c r="E15" t="b">
        <f t="shared" ref="E15:O15" si="2">E2&lt;6/1440</f>
        <v>0</v>
      </c>
      <c r="F15" t="b">
        <f t="shared" si="2"/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x14ac:dyDescent="0.3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1</v>
      </c>
      <c r="F16" t="b">
        <f t="shared" ref="F16:O16" si="6">F3&lt;3/1440</f>
        <v>1</v>
      </c>
      <c r="G16" t="b">
        <f t="shared" ref="G16:G21" si="7">G3&lt;3/1440</f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8">P3&lt;3/1440</f>
        <v>1</v>
      </c>
      <c r="Q16" t="b">
        <f t="shared" si="8"/>
        <v>1</v>
      </c>
    </row>
    <row r="17" spans="1:18" x14ac:dyDescent="0.3">
      <c r="A17" s="2">
        <v>7000</v>
      </c>
      <c r="B17" s="2" t="s">
        <v>9</v>
      </c>
      <c r="C17" t="b">
        <f t="shared" ref="C17:D17" si="9">C4&lt;3/1440</f>
        <v>1</v>
      </c>
      <c r="D17" t="b">
        <f t="shared" si="9"/>
        <v>1</v>
      </c>
      <c r="E17" t="b">
        <f t="shared" si="5"/>
        <v>1</v>
      </c>
      <c r="F17" t="b">
        <f>F4&lt;3/1440</f>
        <v>1</v>
      </c>
      <c r="G17" t="b">
        <f t="shared" si="7"/>
        <v>1</v>
      </c>
      <c r="H17" t="b">
        <f t="shared" ref="H17:O21" si="10">H4&lt;3/1440</f>
        <v>1</v>
      </c>
      <c r="I17" t="b">
        <f t="shared" si="10"/>
        <v>1</v>
      </c>
      <c r="J17" t="b">
        <f t="shared" si="10"/>
        <v>1</v>
      </c>
      <c r="K17" t="b">
        <f t="shared" si="10"/>
        <v>1</v>
      </c>
      <c r="L17" t="b">
        <f t="shared" si="10"/>
        <v>1</v>
      </c>
      <c r="M17" t="b">
        <f t="shared" si="10"/>
        <v>1</v>
      </c>
      <c r="N17" t="b">
        <f t="shared" si="10"/>
        <v>1</v>
      </c>
      <c r="O17" t="b">
        <f t="shared" si="10"/>
        <v>1</v>
      </c>
      <c r="P17" t="b">
        <f t="shared" ref="P17:Q17" si="11">P4&lt;3/1440</f>
        <v>1</v>
      </c>
      <c r="Q17" t="b">
        <f t="shared" si="11"/>
        <v>1</v>
      </c>
    </row>
    <row r="18" spans="1:18" x14ac:dyDescent="0.3">
      <c r="A18" s="2">
        <v>31200</v>
      </c>
      <c r="B18" s="2" t="s">
        <v>11</v>
      </c>
      <c r="C18" t="b">
        <f t="shared" ref="C18:D18" si="12">C5&lt;3/1440</f>
        <v>1</v>
      </c>
      <c r="D18" t="b">
        <f t="shared" si="12"/>
        <v>1</v>
      </c>
      <c r="E18" t="b">
        <f t="shared" si="5"/>
        <v>0</v>
      </c>
      <c r="F18" t="b">
        <f>F5&lt;3/1440</f>
        <v>0</v>
      </c>
      <c r="G18" t="b">
        <f t="shared" si="7"/>
        <v>1</v>
      </c>
      <c r="H18" t="b">
        <f t="shared" si="10"/>
        <v>1</v>
      </c>
      <c r="I18" t="b">
        <f t="shared" si="10"/>
        <v>1</v>
      </c>
      <c r="J18" t="b">
        <f t="shared" si="10"/>
        <v>1</v>
      </c>
      <c r="K18" t="b">
        <f t="shared" si="10"/>
        <v>1</v>
      </c>
      <c r="L18" t="b">
        <f t="shared" si="10"/>
        <v>1</v>
      </c>
      <c r="M18" t="b">
        <f t="shared" si="10"/>
        <v>1</v>
      </c>
      <c r="N18" t="b">
        <f t="shared" si="10"/>
        <v>1</v>
      </c>
      <c r="O18" t="b">
        <f t="shared" si="10"/>
        <v>1</v>
      </c>
      <c r="P18" t="b">
        <f t="shared" ref="P18:Q18" si="13">P5&lt;3/1440</f>
        <v>1</v>
      </c>
      <c r="Q18" t="b">
        <f t="shared" si="13"/>
        <v>1</v>
      </c>
    </row>
    <row r="19" spans="1:18" x14ac:dyDescent="0.3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>F6&lt;3/1440</f>
        <v>1</v>
      </c>
      <c r="G19" t="b">
        <f t="shared" si="7"/>
        <v>1</v>
      </c>
      <c r="H19" t="b">
        <f t="shared" si="10"/>
        <v>1</v>
      </c>
      <c r="I19" t="b">
        <f t="shared" si="10"/>
        <v>1</v>
      </c>
      <c r="J19" t="b">
        <f t="shared" si="10"/>
        <v>1</v>
      </c>
      <c r="K19" t="b">
        <f t="shared" si="10"/>
        <v>1</v>
      </c>
      <c r="L19" t="b">
        <f t="shared" si="10"/>
        <v>1</v>
      </c>
      <c r="M19" t="b">
        <f t="shared" si="10"/>
        <v>1</v>
      </c>
      <c r="N19" t="b">
        <f t="shared" si="10"/>
        <v>1</v>
      </c>
      <c r="O19" t="b">
        <f t="shared" si="10"/>
        <v>1</v>
      </c>
      <c r="P19" t="b">
        <f t="shared" ref="P19:Q19" si="15">P6&lt;3/1440</f>
        <v>1</v>
      </c>
      <c r="Q19" t="b">
        <f t="shared" si="15"/>
        <v>1</v>
      </c>
    </row>
    <row r="20" spans="1:18" x14ac:dyDescent="0.3">
      <c r="A20" s="2">
        <v>31300</v>
      </c>
      <c r="B20" s="2" t="s">
        <v>3</v>
      </c>
      <c r="C20" t="b">
        <f t="shared" ref="C20:D21" si="16">C7&lt;3/1440</f>
        <v>1</v>
      </c>
      <c r="D20" t="b">
        <f t="shared" si="16"/>
        <v>1</v>
      </c>
      <c r="E20" t="b">
        <f t="shared" si="5"/>
        <v>1</v>
      </c>
      <c r="F20" t="b">
        <f>F7&lt;3/1440</f>
        <v>1</v>
      </c>
      <c r="G20" t="b">
        <f t="shared" si="7"/>
        <v>1</v>
      </c>
      <c r="H20" t="b">
        <f t="shared" si="10"/>
        <v>1</v>
      </c>
      <c r="I20" t="b">
        <f t="shared" si="10"/>
        <v>1</v>
      </c>
      <c r="J20" t="b">
        <f t="shared" si="10"/>
        <v>1</v>
      </c>
      <c r="K20" t="b">
        <f t="shared" si="10"/>
        <v>1</v>
      </c>
      <c r="L20" t="b">
        <f t="shared" si="10"/>
        <v>1</v>
      </c>
      <c r="M20" t="b">
        <f t="shared" si="10"/>
        <v>1</v>
      </c>
      <c r="N20" t="b">
        <f t="shared" si="10"/>
        <v>1</v>
      </c>
      <c r="O20" t="b">
        <f t="shared" si="10"/>
        <v>1</v>
      </c>
      <c r="P20" t="b">
        <f t="shared" ref="P20:Q21" si="17">P7&lt;3/1440</f>
        <v>1</v>
      </c>
      <c r="Q20" t="b">
        <f t="shared" si="17"/>
        <v>1</v>
      </c>
    </row>
    <row r="21" spans="1:18" x14ac:dyDescent="0.3">
      <c r="A21" s="2">
        <v>3600</v>
      </c>
      <c r="B21" s="2" t="s">
        <v>16</v>
      </c>
      <c r="C21" t="b">
        <f t="shared" si="16"/>
        <v>1</v>
      </c>
      <c r="D21" t="b">
        <f t="shared" si="16"/>
        <v>1</v>
      </c>
      <c r="E21" t="b">
        <f t="shared" si="5"/>
        <v>1</v>
      </c>
      <c r="F21" t="b">
        <f>F8&lt;3/1440</f>
        <v>1</v>
      </c>
      <c r="G21" t="b">
        <f t="shared" si="7"/>
        <v>1</v>
      </c>
      <c r="H21" t="b">
        <f t="shared" si="10"/>
        <v>1</v>
      </c>
      <c r="I21" t="b">
        <f t="shared" si="10"/>
        <v>1</v>
      </c>
      <c r="J21" t="b">
        <f t="shared" si="10"/>
        <v>1</v>
      </c>
      <c r="K21" t="b">
        <f t="shared" si="10"/>
        <v>1</v>
      </c>
      <c r="L21" t="b">
        <f t="shared" si="10"/>
        <v>1</v>
      </c>
      <c r="M21" t="b">
        <f t="shared" si="10"/>
        <v>1</v>
      </c>
      <c r="N21" t="b">
        <f t="shared" si="10"/>
        <v>1</v>
      </c>
      <c r="O21" t="b">
        <f t="shared" si="10"/>
        <v>1</v>
      </c>
      <c r="P21" t="b">
        <f t="shared" si="17"/>
        <v>1</v>
      </c>
      <c r="Q21" t="b">
        <f t="shared" si="17"/>
        <v>1</v>
      </c>
    </row>
    <row r="22" spans="1:18" x14ac:dyDescent="0.3">
      <c r="A22" s="2">
        <v>20350</v>
      </c>
      <c r="B22" s="2" t="s">
        <v>18</v>
      </c>
      <c r="C22" t="b">
        <f t="shared" ref="C22:D22" si="18">C9&lt;3/1440</f>
        <v>1</v>
      </c>
      <c r="D22" t="b">
        <f t="shared" si="18"/>
        <v>1</v>
      </c>
      <c r="E22" t="b">
        <f t="shared" ref="E22:O22" si="19">E9&lt;3/1440</f>
        <v>1</v>
      </c>
      <c r="F22" t="b">
        <f t="shared" si="19"/>
        <v>1</v>
      </c>
      <c r="G22" t="b">
        <f t="shared" si="19"/>
        <v>1</v>
      </c>
      <c r="H22" t="b">
        <f t="shared" si="19"/>
        <v>1</v>
      </c>
      <c r="I22" t="b">
        <f t="shared" si="19"/>
        <v>1</v>
      </c>
      <c r="J22" t="b">
        <f t="shared" si="19"/>
        <v>1</v>
      </c>
      <c r="K22" t="b">
        <f t="shared" si="19"/>
        <v>1</v>
      </c>
      <c r="L22" t="b">
        <f t="shared" si="19"/>
        <v>1</v>
      </c>
      <c r="M22" t="b">
        <f t="shared" si="19"/>
        <v>1</v>
      </c>
      <c r="N22" t="b">
        <f t="shared" si="19"/>
        <v>1</v>
      </c>
      <c r="O22" t="b">
        <f t="shared" si="19"/>
        <v>1</v>
      </c>
      <c r="P22" t="b">
        <f t="shared" ref="P22:Q22" si="20">P9&lt;3/1440</f>
        <v>1</v>
      </c>
      <c r="Q22" t="b">
        <f t="shared" si="20"/>
        <v>1</v>
      </c>
    </row>
    <row r="23" spans="1:18" x14ac:dyDescent="0.3">
      <c r="A23" s="2">
        <v>31200</v>
      </c>
      <c r="B23" s="2" t="s">
        <v>18</v>
      </c>
      <c r="C23" t="b">
        <f t="shared" ref="C23:D23" si="21">C10&lt;3/1440</f>
        <v>0</v>
      </c>
      <c r="D23" t="b">
        <f t="shared" si="21"/>
        <v>0</v>
      </c>
      <c r="E23" t="b">
        <f t="shared" ref="E23:O23" si="22">E10&lt;3/1440</f>
        <v>0</v>
      </c>
      <c r="F23" t="b">
        <f t="shared" si="22"/>
        <v>0</v>
      </c>
      <c r="G23" t="b">
        <f t="shared" si="22"/>
        <v>1</v>
      </c>
      <c r="H23" t="b">
        <f t="shared" si="22"/>
        <v>1</v>
      </c>
      <c r="I23" t="b">
        <f t="shared" si="22"/>
        <v>1</v>
      </c>
      <c r="J23" t="b">
        <f t="shared" si="22"/>
        <v>1</v>
      </c>
      <c r="K23" t="b">
        <f t="shared" si="22"/>
        <v>1</v>
      </c>
      <c r="L23" t="b">
        <f t="shared" si="22"/>
        <v>1</v>
      </c>
      <c r="M23" t="b">
        <f t="shared" si="22"/>
        <v>1</v>
      </c>
      <c r="N23" t="b">
        <f t="shared" si="22"/>
        <v>1</v>
      </c>
      <c r="O23" t="b">
        <f t="shared" si="22"/>
        <v>1</v>
      </c>
      <c r="P23" t="b">
        <f t="shared" ref="P23:Q23" si="23">P10&lt;3/1440</f>
        <v>1</v>
      </c>
      <c r="Q23" t="b">
        <f t="shared" si="23"/>
        <v>1</v>
      </c>
    </row>
    <row r="24" spans="1:18" x14ac:dyDescent="0.3">
      <c r="A24" s="2">
        <v>31200</v>
      </c>
      <c r="B24" s="2" t="s">
        <v>24</v>
      </c>
      <c r="C24" t="b">
        <f>C11&lt;3/1440</f>
        <v>1</v>
      </c>
      <c r="D24" t="b">
        <f t="shared" ref="D24:Q24" si="24">D11&lt;3/1440</f>
        <v>1</v>
      </c>
      <c r="E24" t="b">
        <f t="shared" si="24"/>
        <v>1</v>
      </c>
      <c r="F24" t="b">
        <f t="shared" si="24"/>
        <v>1</v>
      </c>
      <c r="G24" t="b">
        <f t="shared" si="24"/>
        <v>1</v>
      </c>
      <c r="H24" t="b">
        <f t="shared" si="24"/>
        <v>1</v>
      </c>
      <c r="I24" t="b">
        <f t="shared" si="24"/>
        <v>1</v>
      </c>
      <c r="J24" t="b">
        <f t="shared" si="24"/>
        <v>1</v>
      </c>
      <c r="K24" t="b">
        <f t="shared" si="24"/>
        <v>1</v>
      </c>
      <c r="L24" t="b">
        <f t="shared" si="24"/>
        <v>1</v>
      </c>
      <c r="M24" t="b">
        <f t="shared" si="24"/>
        <v>1</v>
      </c>
      <c r="N24" t="b">
        <f t="shared" si="24"/>
        <v>1</v>
      </c>
      <c r="O24" t="b">
        <f t="shared" si="24"/>
        <v>1</v>
      </c>
      <c r="P24" t="b">
        <f t="shared" si="24"/>
        <v>1</v>
      </c>
      <c r="Q24" t="b">
        <f t="shared" si="24"/>
        <v>1</v>
      </c>
    </row>
    <row r="25" spans="1:18" x14ac:dyDescent="0.3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ref="E25:O25" si="26">E12&lt;3/1440</f>
        <v>1</v>
      </c>
      <c r="F25" t="b">
        <f t="shared" si="26"/>
        <v>1</v>
      </c>
      <c r="G25" t="b">
        <f t="shared" si="26"/>
        <v>1</v>
      </c>
      <c r="H25" t="b">
        <f t="shared" si="26"/>
        <v>1</v>
      </c>
      <c r="I25" t="b">
        <f t="shared" si="26"/>
        <v>1</v>
      </c>
      <c r="J25" t="b">
        <f t="shared" si="26"/>
        <v>1</v>
      </c>
      <c r="K25" t="b">
        <f t="shared" si="26"/>
        <v>1</v>
      </c>
      <c r="L25" t="b">
        <f t="shared" si="26"/>
        <v>1</v>
      </c>
      <c r="M25" t="b">
        <f t="shared" si="26"/>
        <v>1</v>
      </c>
      <c r="N25" t="b">
        <f t="shared" si="26"/>
        <v>1</v>
      </c>
      <c r="O25" t="b">
        <f t="shared" si="26"/>
        <v>1</v>
      </c>
      <c r="P25" t="b">
        <f t="shared" ref="P25:Q25" si="27">P12&lt;3/1440</f>
        <v>1</v>
      </c>
      <c r="Q25" t="b">
        <f t="shared" si="27"/>
        <v>1</v>
      </c>
    </row>
    <row r="26" spans="1:18" x14ac:dyDescent="0.3">
      <c r="A26" t="s">
        <v>31</v>
      </c>
      <c r="C26" s="12">
        <f>COUNTIF(C16:C21,TRUE) / 6</f>
        <v>1</v>
      </c>
      <c r="D26" s="12">
        <f t="shared" ref="D26:Q26" si="28">COUNTIF(D16:D21,TRUE) / 6</f>
        <v>1</v>
      </c>
      <c r="E26" s="12">
        <f t="shared" si="28"/>
        <v>0.83333333333333337</v>
      </c>
      <c r="F26" s="12">
        <f t="shared" si="28"/>
        <v>0.83333333333333337</v>
      </c>
      <c r="G26" s="12">
        <f t="shared" si="28"/>
        <v>0.83333333333333337</v>
      </c>
      <c r="H26" s="12">
        <f t="shared" si="28"/>
        <v>0.83333333333333337</v>
      </c>
      <c r="I26" s="12">
        <f t="shared" si="28"/>
        <v>0.83333333333333337</v>
      </c>
      <c r="J26" s="12">
        <f t="shared" si="28"/>
        <v>0.83333333333333337</v>
      </c>
      <c r="K26" s="12">
        <f t="shared" si="28"/>
        <v>0.83333333333333337</v>
      </c>
      <c r="L26" s="12">
        <f t="shared" si="28"/>
        <v>0.83333333333333337</v>
      </c>
      <c r="M26" s="12">
        <f t="shared" si="28"/>
        <v>0.83333333333333337</v>
      </c>
      <c r="N26" s="12">
        <f t="shared" si="28"/>
        <v>0.83333333333333337</v>
      </c>
      <c r="O26" s="12">
        <f t="shared" si="28"/>
        <v>0.83333333333333337</v>
      </c>
      <c r="P26" s="12">
        <f t="shared" si="28"/>
        <v>1</v>
      </c>
      <c r="Q26" s="12">
        <f t="shared" si="28"/>
        <v>1</v>
      </c>
    </row>
    <row r="28" spans="1:18" x14ac:dyDescent="0.3">
      <c r="A28" t="s">
        <v>33</v>
      </c>
      <c r="C28" s="3" t="s">
        <v>65</v>
      </c>
      <c r="D28" s="3" t="s">
        <v>65</v>
      </c>
      <c r="E28" s="3" t="s">
        <v>65</v>
      </c>
      <c r="F28" s="3" t="s">
        <v>65</v>
      </c>
      <c r="G28" s="3" t="s">
        <v>65</v>
      </c>
      <c r="H28" s="3" t="s">
        <v>65</v>
      </c>
      <c r="I28" s="3" t="s">
        <v>65</v>
      </c>
      <c r="J28" s="3" t="s">
        <v>65</v>
      </c>
      <c r="K28" s="3" t="s">
        <v>65</v>
      </c>
      <c r="L28" s="3" t="s">
        <v>65</v>
      </c>
      <c r="M28" s="3" t="s">
        <v>65</v>
      </c>
      <c r="N28" s="3" t="s">
        <v>65</v>
      </c>
      <c r="O28" s="3" t="s">
        <v>65</v>
      </c>
      <c r="P28" s="3" t="s">
        <v>65</v>
      </c>
      <c r="Q28" s="3" t="s">
        <v>65</v>
      </c>
      <c r="R28" t="s">
        <v>61</v>
      </c>
    </row>
    <row r="29" spans="1:18" x14ac:dyDescent="0.3">
      <c r="A29" t="s">
        <v>33</v>
      </c>
      <c r="C29" s="3" t="e">
        <f t="shared" ref="C29:D29" si="29">C1-C2</f>
        <v>#VALUE!</v>
      </c>
      <c r="D29" s="3" t="e">
        <f t="shared" si="29"/>
        <v>#VALUE!</v>
      </c>
      <c r="E29" s="3" t="e">
        <f t="shared" ref="E29:O29" si="30">E1-E2</f>
        <v>#VALUE!</v>
      </c>
      <c r="F29" s="3" t="e">
        <f t="shared" si="30"/>
        <v>#VALUE!</v>
      </c>
      <c r="G29" s="3" t="e">
        <f t="shared" si="30"/>
        <v>#VALUE!</v>
      </c>
      <c r="H29" s="3" t="e">
        <f t="shared" si="30"/>
        <v>#VALUE!</v>
      </c>
      <c r="I29" s="3" t="e">
        <f t="shared" si="30"/>
        <v>#VALUE!</v>
      </c>
      <c r="J29" s="3" t="e">
        <f t="shared" si="30"/>
        <v>#VALUE!</v>
      </c>
      <c r="K29" s="3" t="e">
        <f t="shared" si="30"/>
        <v>#VALUE!</v>
      </c>
      <c r="L29" s="3" t="e">
        <f t="shared" si="30"/>
        <v>#VALUE!</v>
      </c>
      <c r="M29" s="3" t="e">
        <f t="shared" si="30"/>
        <v>#VALUE!</v>
      </c>
      <c r="N29" s="3" t="e">
        <f t="shared" si="30"/>
        <v>#VALUE!</v>
      </c>
      <c r="O29" s="3" t="e">
        <f t="shared" si="30"/>
        <v>#VALUE!</v>
      </c>
      <c r="P29" s="3" t="e">
        <f t="shared" ref="P29:Q29" si="31">P1-P2</f>
        <v>#VALUE!</v>
      </c>
      <c r="Q29" s="3" t="e">
        <f t="shared" si="31"/>
        <v>#VALUE!</v>
      </c>
      <c r="R29" t="s">
        <v>62</v>
      </c>
    </row>
    <row r="31" spans="1:18" x14ac:dyDescent="0.3">
      <c r="A31" t="s">
        <v>38</v>
      </c>
      <c r="C31" s="12">
        <f>C40</f>
        <v>0.92307692307692313</v>
      </c>
      <c r="D31" s="12">
        <f t="shared" ref="D31:Q31" si="32">D40</f>
        <v>0.92307692307692313</v>
      </c>
      <c r="E31" s="12">
        <f t="shared" si="32"/>
        <v>0.92307692307692313</v>
      </c>
      <c r="F31" s="12">
        <f t="shared" si="32"/>
        <v>0.92307692307692313</v>
      </c>
      <c r="G31" s="12">
        <f t="shared" si="32"/>
        <v>0.97435897435897434</v>
      </c>
      <c r="H31" s="12">
        <f t="shared" si="32"/>
        <v>0.97435897435897434</v>
      </c>
      <c r="I31" s="12">
        <f t="shared" si="32"/>
        <v>0.97435897435897434</v>
      </c>
      <c r="J31" s="12">
        <f t="shared" si="32"/>
        <v>0.97435897435897434</v>
      </c>
      <c r="K31" s="12">
        <f t="shared" si="32"/>
        <v>0.97435897435897434</v>
      </c>
      <c r="L31" s="12">
        <f t="shared" si="32"/>
        <v>0.97435897435897434</v>
      </c>
      <c r="M31" s="12">
        <f t="shared" si="32"/>
        <v>0.97435897435897434</v>
      </c>
      <c r="N31" s="12">
        <f t="shared" si="32"/>
        <v>0.97435897435897434</v>
      </c>
      <c r="O31" s="12">
        <f t="shared" si="32"/>
        <v>0.97435897435897434</v>
      </c>
      <c r="P31" s="12">
        <f t="shared" si="32"/>
        <v>0.97435897435897434</v>
      </c>
      <c r="Q31" s="12">
        <f t="shared" si="32"/>
        <v>0.97435897435897434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0.92307692307692313</v>
      </c>
      <c r="D40" s="12">
        <f t="shared" ref="D40:Q40" si="33">1-SUM(D34:D39)/39</f>
        <v>0.92307692307692313</v>
      </c>
      <c r="E40" s="12">
        <f t="shared" si="33"/>
        <v>0.92307692307692313</v>
      </c>
      <c r="F40" s="12">
        <f t="shared" si="33"/>
        <v>0.92307692307692313</v>
      </c>
      <c r="G40" s="12">
        <f t="shared" si="33"/>
        <v>0.97435897435897434</v>
      </c>
      <c r="H40" s="12">
        <f t="shared" si="33"/>
        <v>0.97435897435897434</v>
      </c>
      <c r="I40" s="12">
        <f t="shared" si="33"/>
        <v>0.97435897435897434</v>
      </c>
      <c r="J40" s="12">
        <f t="shared" si="33"/>
        <v>0.97435897435897434</v>
      </c>
      <c r="K40" s="12">
        <f t="shared" si="33"/>
        <v>0.97435897435897434</v>
      </c>
      <c r="L40" s="12">
        <f t="shared" si="33"/>
        <v>0.97435897435897434</v>
      </c>
      <c r="M40" s="12">
        <f t="shared" si="33"/>
        <v>0.97435897435897434</v>
      </c>
      <c r="N40" s="12">
        <f t="shared" si="33"/>
        <v>0.97435897435897434</v>
      </c>
      <c r="O40" s="12">
        <f t="shared" si="33"/>
        <v>0.97435897435897434</v>
      </c>
      <c r="P40" s="12">
        <f t="shared" si="33"/>
        <v>0.97435897435897434</v>
      </c>
      <c r="Q40" s="12">
        <f t="shared" si="33"/>
        <v>0.97435897435897434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EE23-526C-4EF5-8885-109F7994044C}">
  <dimension ref="A1:XFD40"/>
  <sheetViews>
    <sheetView workbookViewId="0">
      <selection activeCell="Q33" sqref="Q33"/>
    </sheetView>
  </sheetViews>
  <sheetFormatPr defaultRowHeight="15" customHeight="1" x14ac:dyDescent="0.3"/>
  <cols>
    <col min="1" max="17" width="10.6640625" customWidth="1"/>
  </cols>
  <sheetData>
    <row r="1" spans="1:20 16384:16384" ht="14.4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 16384:16384" ht="14.4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7.8240740740740736E-3</v>
      </c>
      <c r="H2" s="22">
        <v>7.8240740740740736E-3</v>
      </c>
      <c r="I2" s="22">
        <v>7.8240740740740736E-3</v>
      </c>
      <c r="J2" s="22">
        <v>7.8240740740740736E-3</v>
      </c>
      <c r="K2" s="22">
        <v>7.8240740740740736E-3</v>
      </c>
      <c r="L2" s="22">
        <v>7.8240740740740736E-3</v>
      </c>
      <c r="M2" s="22">
        <v>7.8240740740740736E-3</v>
      </c>
      <c r="N2" s="22">
        <v>7.8240740740740736E-3</v>
      </c>
      <c r="O2" s="22">
        <v>7.8240740740740736E-3</v>
      </c>
      <c r="P2" s="22">
        <v>1.7476851851851851E-2</v>
      </c>
      <c r="Q2" s="22">
        <v>1.8240740740740741E-2</v>
      </c>
      <c r="R2" t="s">
        <v>4</v>
      </c>
      <c r="T2" t="s">
        <v>60</v>
      </c>
    </row>
    <row r="3" spans="1:20 16384:16384" ht="14.4" x14ac:dyDescent="0.3">
      <c r="A3" s="2">
        <v>1700</v>
      </c>
      <c r="B3" s="7" t="s">
        <v>6</v>
      </c>
      <c r="C3" s="25">
        <v>1.136574074074074E-2</v>
      </c>
      <c r="D3" s="25">
        <v>1.136574074074074E-2</v>
      </c>
      <c r="E3" s="25">
        <v>1.136574074074074E-2</v>
      </c>
      <c r="F3" s="25">
        <v>1.136574074074074E-2</v>
      </c>
      <c r="G3" s="3">
        <v>1.136574074074074E-2</v>
      </c>
      <c r="H3" s="3">
        <v>1.136574074074074E-2</v>
      </c>
      <c r="I3" s="3">
        <v>1.136574074074074E-2</v>
      </c>
      <c r="J3" s="3">
        <v>1.136574074074074E-2</v>
      </c>
      <c r="K3" s="3">
        <v>1.136574074074074E-2</v>
      </c>
      <c r="L3" s="3">
        <v>1.136574074074074E-2</v>
      </c>
      <c r="M3" s="3">
        <v>1.136574074074074E-2</v>
      </c>
      <c r="N3" s="3">
        <v>1.136574074074074E-2</v>
      </c>
      <c r="O3" s="3">
        <v>1.136574074074074E-2</v>
      </c>
      <c r="P3" s="3">
        <v>0</v>
      </c>
      <c r="Q3" s="3">
        <v>0</v>
      </c>
      <c r="R3" t="s">
        <v>7</v>
      </c>
    </row>
    <row r="4" spans="1:20 16384:16384" ht="14.4" x14ac:dyDescent="0.3">
      <c r="A4" s="2">
        <v>7000</v>
      </c>
      <c r="B4" s="7" t="s">
        <v>9</v>
      </c>
      <c r="C4" s="25">
        <v>3.4027777777777776E-3</v>
      </c>
      <c r="D4" s="25">
        <v>3.4027777777777776E-3</v>
      </c>
      <c r="E4" s="3">
        <v>3.425925925925926E-3</v>
      </c>
      <c r="F4" s="3">
        <v>3.7962962962962963E-3</v>
      </c>
      <c r="G4" s="3">
        <v>5.6249999999999998E-3</v>
      </c>
      <c r="H4" s="3">
        <v>5.6249999999999998E-3</v>
      </c>
      <c r="I4" s="3">
        <v>5.6249999999999998E-3</v>
      </c>
      <c r="J4" s="3">
        <v>5.6249999999999998E-3</v>
      </c>
      <c r="K4" s="3">
        <v>5.6249999999999998E-3</v>
      </c>
      <c r="L4" s="3">
        <v>5.6249999999999998E-3</v>
      </c>
      <c r="M4" s="3">
        <v>5.6018518518518518E-3</v>
      </c>
      <c r="N4" s="3">
        <v>5.4629629629629629E-3</v>
      </c>
      <c r="O4" s="3">
        <v>5.9259259259259256E-3</v>
      </c>
      <c r="P4" s="3">
        <v>1.4837962962962963E-2</v>
      </c>
      <c r="Q4" s="3">
        <v>2.2592592592592591E-2</v>
      </c>
      <c r="R4" t="s">
        <v>10</v>
      </c>
    </row>
    <row r="5" spans="1:20 16384:16384" ht="14.4" x14ac:dyDescent="0.3">
      <c r="A5" s="2">
        <v>31200</v>
      </c>
      <c r="B5" s="7" t="s">
        <v>11</v>
      </c>
      <c r="C5" s="25">
        <v>6.7129629629629625E-4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 16384:16384" ht="14.4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1.6203703703703703E-3</v>
      </c>
      <c r="H6" s="3">
        <v>1.6203703703703703E-3</v>
      </c>
      <c r="I6" s="3">
        <v>1.6203703703703703E-3</v>
      </c>
      <c r="J6" s="3">
        <v>1.6203703703703703E-3</v>
      </c>
      <c r="K6" s="3">
        <v>1.6203703703703703E-3</v>
      </c>
      <c r="L6" s="3">
        <v>1.5277777777777779E-3</v>
      </c>
      <c r="M6" s="3">
        <v>2.1064814814814813E-3</v>
      </c>
      <c r="N6" s="3">
        <v>2.8009259259259259E-3</v>
      </c>
      <c r="O6" s="3">
        <v>3.4953703703703705E-3</v>
      </c>
      <c r="P6" s="3">
        <v>0</v>
      </c>
      <c r="Q6" s="3">
        <v>0</v>
      </c>
      <c r="R6" t="s">
        <v>14</v>
      </c>
    </row>
    <row r="7" spans="1:20 16384:16384" ht="14.4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 16384:16384" ht="14.4" x14ac:dyDescent="0.3">
      <c r="A8" s="2">
        <v>3600</v>
      </c>
      <c r="B8" s="7" t="s">
        <v>16</v>
      </c>
      <c r="C8" s="25">
        <v>4.2592592592592595E-3</v>
      </c>
      <c r="D8" s="25">
        <v>4.2592592592592595E-3</v>
      </c>
      <c r="E8" s="3">
        <v>4.6759259259259263E-3</v>
      </c>
      <c r="F8" s="3">
        <v>5.37037037037037E-3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 16384:16384" ht="14.4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6.9444444444444447E-4</v>
      </c>
      <c r="P9" s="25">
        <v>6.9444444444444447E-4</v>
      </c>
      <c r="Q9" s="22">
        <v>0</v>
      </c>
      <c r="R9" t="s">
        <v>19</v>
      </c>
    </row>
    <row r="10" spans="1:20 16384:16384" ht="14.4" x14ac:dyDescent="0.3">
      <c r="A10" s="4">
        <v>31200</v>
      </c>
      <c r="B10" s="8" t="s">
        <v>18</v>
      </c>
      <c r="C10" s="28">
        <v>2.3148148148148147E-3</v>
      </c>
      <c r="D10" s="28">
        <v>2.8935185185185184E-3</v>
      </c>
      <c r="E10" s="5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  <c r="XFD10" s="5"/>
    </row>
    <row r="11" spans="1:20 16384:16384" ht="14.4" x14ac:dyDescent="0.3">
      <c r="A11" s="2">
        <v>31200</v>
      </c>
      <c r="B11" s="7" t="s">
        <v>24</v>
      </c>
      <c r="C11" s="25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 16384:16384" ht="14.4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 16384:16384" ht="15" customHeight="1" x14ac:dyDescent="0.3">
      <c r="A13" s="9" t="s">
        <v>25</v>
      </c>
      <c r="B13" s="9"/>
      <c r="C13" s="10">
        <f t="shared" ref="C13:Q13" si="0">SUM(C3:C8)</f>
        <v>1.9699074074074074E-2</v>
      </c>
      <c r="D13" s="10">
        <f t="shared" si="0"/>
        <v>2.0648148148148152E-2</v>
      </c>
      <c r="E13" s="10">
        <f t="shared" si="0"/>
        <v>2.3402777777777779E-2</v>
      </c>
      <c r="F13" s="10">
        <f t="shared" si="0"/>
        <v>2.5162037037037035E-2</v>
      </c>
      <c r="G13" s="10">
        <f t="shared" si="0"/>
        <v>1.9560185185185184E-2</v>
      </c>
      <c r="H13" s="10">
        <f t="shared" si="0"/>
        <v>1.9560185185185184E-2</v>
      </c>
      <c r="I13" s="10">
        <f t="shared" si="0"/>
        <v>1.9560185185185184E-2</v>
      </c>
      <c r="J13" s="10">
        <f t="shared" si="0"/>
        <v>1.9560185185185184E-2</v>
      </c>
      <c r="K13" s="10">
        <f t="shared" si="0"/>
        <v>1.9560185185185184E-2</v>
      </c>
      <c r="L13" s="10">
        <f t="shared" si="0"/>
        <v>1.9467592592592592E-2</v>
      </c>
      <c r="M13" s="10">
        <f t="shared" si="0"/>
        <v>2.0023148148148148E-2</v>
      </c>
      <c r="N13" s="10">
        <f t="shared" si="0"/>
        <v>2.0578703703703703E-2</v>
      </c>
      <c r="O13" s="10">
        <f t="shared" si="0"/>
        <v>2.1736111111111112E-2</v>
      </c>
      <c r="P13" s="10">
        <f t="shared" si="0"/>
        <v>1.5787037037037037E-2</v>
      </c>
      <c r="Q13" s="10">
        <f t="shared" si="0"/>
        <v>2.3541666666666666E-2</v>
      </c>
    </row>
    <row r="14" spans="1:20 16384:16384" ht="14.4" x14ac:dyDescent="0.3"/>
    <row r="15" spans="1:20 16384:16384" ht="14.4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Q15" si="2">F2&lt;6/1440</f>
        <v>1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 16384:16384" ht="14.4" x14ac:dyDescent="0.3">
      <c r="A16" s="2">
        <v>1700</v>
      </c>
      <c r="B16" s="2" t="s">
        <v>6</v>
      </c>
      <c r="C16" t="b">
        <f t="shared" ref="C16:E21" si="3">C3&lt;3/1440</f>
        <v>0</v>
      </c>
      <c r="D16" t="b">
        <f t="shared" si="3"/>
        <v>0</v>
      </c>
      <c r="E16" t="b">
        <f t="shared" si="3"/>
        <v>0</v>
      </c>
      <c r="F16" t="b">
        <f t="shared" ref="F16:Q21" si="4">F3&lt;3/1440</f>
        <v>0</v>
      </c>
      <c r="G16" t="b">
        <f t="shared" si="4"/>
        <v>0</v>
      </c>
      <c r="H16" t="b">
        <f t="shared" si="4"/>
        <v>0</v>
      </c>
      <c r="I16" t="b">
        <f t="shared" si="4"/>
        <v>0</v>
      </c>
      <c r="J16" t="b">
        <f t="shared" si="4"/>
        <v>0</v>
      </c>
      <c r="K16" t="b">
        <f t="shared" si="4"/>
        <v>0</v>
      </c>
      <c r="L16" t="b">
        <f t="shared" si="4"/>
        <v>0</v>
      </c>
      <c r="M16" t="b">
        <f t="shared" si="4"/>
        <v>0</v>
      </c>
      <c r="N16" t="b">
        <f t="shared" si="4"/>
        <v>0</v>
      </c>
      <c r="O16" t="b">
        <f t="shared" si="4"/>
        <v>0</v>
      </c>
      <c r="P16" t="b">
        <f t="shared" si="4"/>
        <v>1</v>
      </c>
      <c r="Q16" t="b">
        <f t="shared" si="4"/>
        <v>1</v>
      </c>
    </row>
    <row r="17" spans="1:18" ht="14.4" x14ac:dyDescent="0.3">
      <c r="A17" s="2">
        <v>7000</v>
      </c>
      <c r="B17" s="2" t="s">
        <v>9</v>
      </c>
      <c r="C17" t="b">
        <f t="shared" si="3"/>
        <v>0</v>
      </c>
      <c r="D17" t="b">
        <f t="shared" si="3"/>
        <v>0</v>
      </c>
      <c r="E17" t="b">
        <f t="shared" si="3"/>
        <v>0</v>
      </c>
      <c r="F17" t="b">
        <f t="shared" ref="F17:O17" si="5">F4&lt;3/1440</f>
        <v>0</v>
      </c>
      <c r="G17" t="b">
        <f t="shared" si="5"/>
        <v>0</v>
      </c>
      <c r="H17" t="b">
        <f t="shared" si="5"/>
        <v>0</v>
      </c>
      <c r="I17" t="b">
        <f t="shared" si="5"/>
        <v>0</v>
      </c>
      <c r="J17" t="b">
        <f t="shared" si="5"/>
        <v>0</v>
      </c>
      <c r="K17" t="b">
        <f t="shared" si="5"/>
        <v>0</v>
      </c>
      <c r="L17" t="b">
        <f t="shared" si="5"/>
        <v>0</v>
      </c>
      <c r="M17" t="b">
        <f t="shared" si="5"/>
        <v>0</v>
      </c>
      <c r="N17" t="b">
        <f t="shared" si="5"/>
        <v>0</v>
      </c>
      <c r="O17" t="b">
        <f t="shared" si="5"/>
        <v>0</v>
      </c>
      <c r="P17" t="b">
        <f t="shared" si="4"/>
        <v>0</v>
      </c>
      <c r="Q17" t="b">
        <f t="shared" si="4"/>
        <v>0</v>
      </c>
    </row>
    <row r="18" spans="1:18" ht="14.4" x14ac:dyDescent="0.3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0</v>
      </c>
      <c r="F18" t="b">
        <f t="shared" ref="F18:O18" si="6">F5&lt;3/1440</f>
        <v>0</v>
      </c>
      <c r="G18" t="b">
        <f t="shared" si="6"/>
        <v>1</v>
      </c>
      <c r="H18" t="b">
        <f t="shared" si="6"/>
        <v>1</v>
      </c>
      <c r="I18" t="b">
        <f t="shared" si="6"/>
        <v>1</v>
      </c>
      <c r="J18" t="b">
        <f t="shared" si="6"/>
        <v>1</v>
      </c>
      <c r="K18" t="b">
        <f t="shared" si="6"/>
        <v>1</v>
      </c>
      <c r="L18" t="b">
        <f t="shared" si="6"/>
        <v>1</v>
      </c>
      <c r="M18" t="b">
        <f t="shared" si="6"/>
        <v>1</v>
      </c>
      <c r="N18" t="b">
        <f t="shared" si="6"/>
        <v>1</v>
      </c>
      <c r="O18" t="b">
        <f t="shared" si="6"/>
        <v>1</v>
      </c>
      <c r="P18" t="b">
        <f t="shared" si="4"/>
        <v>1</v>
      </c>
      <c r="Q18" t="b">
        <f t="shared" si="4"/>
        <v>1</v>
      </c>
    </row>
    <row r="19" spans="1:18" ht="14.4" x14ac:dyDescent="0.3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ref="F19:O19" si="7">F6&lt;3/1440</f>
        <v>1</v>
      </c>
      <c r="G19" t="b">
        <f t="shared" si="7"/>
        <v>1</v>
      </c>
      <c r="H19" t="b">
        <f t="shared" si="7"/>
        <v>1</v>
      </c>
      <c r="I19" t="b">
        <f t="shared" si="7"/>
        <v>1</v>
      </c>
      <c r="J19" t="b">
        <f t="shared" si="7"/>
        <v>1</v>
      </c>
      <c r="K19" t="b">
        <f t="shared" si="7"/>
        <v>1</v>
      </c>
      <c r="L19" t="b">
        <f t="shared" si="7"/>
        <v>1</v>
      </c>
      <c r="M19" t="b">
        <f t="shared" si="7"/>
        <v>0</v>
      </c>
      <c r="N19" t="b">
        <f t="shared" si="7"/>
        <v>0</v>
      </c>
      <c r="O19" t="b">
        <f t="shared" si="7"/>
        <v>0</v>
      </c>
      <c r="P19" t="b">
        <f t="shared" si="4"/>
        <v>1</v>
      </c>
      <c r="Q19" t="b">
        <f t="shared" si="4"/>
        <v>1</v>
      </c>
    </row>
    <row r="20" spans="1:18" ht="14.4" x14ac:dyDescent="0.3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ref="F20:O21" si="8">F7&lt;3/1440</f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si="4"/>
        <v>1</v>
      </c>
      <c r="Q20" t="b">
        <f t="shared" si="4"/>
        <v>1</v>
      </c>
    </row>
    <row r="21" spans="1:18" ht="14.4" x14ac:dyDescent="0.3">
      <c r="A21" s="2">
        <v>3600</v>
      </c>
      <c r="B21" s="2" t="s">
        <v>16</v>
      </c>
      <c r="C21" t="b">
        <f t="shared" si="3"/>
        <v>0</v>
      </c>
      <c r="D21" t="b">
        <f t="shared" si="3"/>
        <v>0</v>
      </c>
      <c r="E21" t="b">
        <f t="shared" si="3"/>
        <v>0</v>
      </c>
      <c r="F21" t="b">
        <f t="shared" si="8"/>
        <v>0</v>
      </c>
      <c r="G21" t="b">
        <f t="shared" si="8"/>
        <v>1</v>
      </c>
      <c r="H21" t="b">
        <f t="shared" si="8"/>
        <v>1</v>
      </c>
      <c r="I21" t="b">
        <f t="shared" si="8"/>
        <v>1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4"/>
        <v>1</v>
      </c>
      <c r="Q21" t="b">
        <f t="shared" si="4"/>
        <v>1</v>
      </c>
    </row>
    <row r="22" spans="1:18" ht="14.4" x14ac:dyDescent="0.3">
      <c r="A22" s="2">
        <v>20350</v>
      </c>
      <c r="B22" s="2" t="s">
        <v>18</v>
      </c>
      <c r="C22" t="b">
        <f t="shared" ref="C22:Q23" si="9">C9&lt;3/1440</f>
        <v>1</v>
      </c>
      <c r="D22" t="b">
        <f t="shared" si="9"/>
        <v>1</v>
      </c>
      <c r="E22" t="b">
        <f t="shared" si="9"/>
        <v>1</v>
      </c>
      <c r="F22" t="b">
        <f t="shared" si="9"/>
        <v>1</v>
      </c>
      <c r="G22" t="b">
        <f t="shared" si="9"/>
        <v>1</v>
      </c>
      <c r="H22" t="b">
        <f t="shared" si="9"/>
        <v>1</v>
      </c>
      <c r="I22" t="b">
        <f t="shared" si="9"/>
        <v>1</v>
      </c>
      <c r="J22" t="b">
        <f t="shared" si="9"/>
        <v>1</v>
      </c>
      <c r="K22" t="b">
        <f t="shared" si="9"/>
        <v>1</v>
      </c>
      <c r="L22" t="b">
        <f t="shared" si="9"/>
        <v>1</v>
      </c>
      <c r="M22" t="b">
        <f t="shared" si="9"/>
        <v>1</v>
      </c>
      <c r="N22" t="b">
        <f t="shared" si="9"/>
        <v>1</v>
      </c>
      <c r="O22" t="b">
        <f t="shared" si="9"/>
        <v>1</v>
      </c>
      <c r="P22" t="b">
        <f t="shared" si="9"/>
        <v>1</v>
      </c>
      <c r="Q22" t="b">
        <f t="shared" si="9"/>
        <v>1</v>
      </c>
    </row>
    <row r="23" spans="1:18" ht="14.4" x14ac:dyDescent="0.3">
      <c r="A23" s="2">
        <v>31200</v>
      </c>
      <c r="B23" s="2" t="s">
        <v>18</v>
      </c>
      <c r="C23" t="b">
        <f t="shared" si="9"/>
        <v>0</v>
      </c>
      <c r="D23" t="b">
        <f t="shared" si="9"/>
        <v>0</v>
      </c>
      <c r="E23" t="b">
        <f t="shared" si="9"/>
        <v>0</v>
      </c>
      <c r="F23" t="b">
        <f t="shared" si="9"/>
        <v>0</v>
      </c>
      <c r="G23" t="b">
        <f t="shared" si="9"/>
        <v>1</v>
      </c>
      <c r="H23" t="b">
        <f t="shared" si="9"/>
        <v>1</v>
      </c>
      <c r="I23" t="b">
        <f t="shared" si="9"/>
        <v>1</v>
      </c>
      <c r="J23" t="b">
        <f t="shared" si="9"/>
        <v>1</v>
      </c>
      <c r="K23" t="b">
        <f t="shared" si="9"/>
        <v>1</v>
      </c>
      <c r="L23" t="b">
        <f t="shared" si="9"/>
        <v>1</v>
      </c>
      <c r="M23" t="b">
        <f t="shared" si="9"/>
        <v>1</v>
      </c>
      <c r="N23" t="b">
        <f t="shared" si="9"/>
        <v>1</v>
      </c>
      <c r="O23" t="b">
        <f t="shared" si="9"/>
        <v>1</v>
      </c>
      <c r="P23" t="b">
        <f t="shared" si="9"/>
        <v>1</v>
      </c>
      <c r="Q23" t="b">
        <f t="shared" si="9"/>
        <v>1</v>
      </c>
    </row>
    <row r="24" spans="1:18" ht="15" customHeight="1" x14ac:dyDescent="0.3">
      <c r="A24" s="2">
        <v>31200</v>
      </c>
      <c r="B24" s="2" t="s">
        <v>24</v>
      </c>
      <c r="C24" t="b">
        <f>C11&lt;3/1440</f>
        <v>1</v>
      </c>
      <c r="D24" t="b">
        <f t="shared" ref="D24:Q24" si="10">D11&lt;3/1440</f>
        <v>1</v>
      </c>
      <c r="E24" t="b">
        <f t="shared" si="10"/>
        <v>1</v>
      </c>
      <c r="F24" t="b">
        <f t="shared" si="10"/>
        <v>1</v>
      </c>
      <c r="G24" t="b">
        <f t="shared" si="10"/>
        <v>1</v>
      </c>
      <c r="H24" t="b">
        <f t="shared" si="10"/>
        <v>1</v>
      </c>
      <c r="I24" t="b">
        <f t="shared" si="10"/>
        <v>1</v>
      </c>
      <c r="J24" t="b">
        <f t="shared" si="10"/>
        <v>1</v>
      </c>
      <c r="K24" t="b">
        <f t="shared" si="10"/>
        <v>1</v>
      </c>
      <c r="L24" t="b">
        <f t="shared" si="10"/>
        <v>1</v>
      </c>
      <c r="M24" t="b">
        <f t="shared" si="10"/>
        <v>1</v>
      </c>
      <c r="N24" t="b">
        <f t="shared" si="10"/>
        <v>1</v>
      </c>
      <c r="O24" t="b">
        <f t="shared" si="10"/>
        <v>1</v>
      </c>
      <c r="P24" t="b">
        <f t="shared" si="10"/>
        <v>1</v>
      </c>
      <c r="Q24" t="b">
        <f t="shared" si="10"/>
        <v>1</v>
      </c>
    </row>
    <row r="25" spans="1:18" ht="14.4" x14ac:dyDescent="0.3">
      <c r="A25" s="2">
        <v>7900</v>
      </c>
      <c r="B25" s="2" t="s">
        <v>16</v>
      </c>
      <c r="C25" t="b">
        <f t="shared" ref="C25:Q25" si="11">C12&lt;3/1440</f>
        <v>1</v>
      </c>
      <c r="D25" t="b">
        <f t="shared" si="11"/>
        <v>1</v>
      </c>
      <c r="E25" t="b">
        <f t="shared" si="11"/>
        <v>1</v>
      </c>
      <c r="F25" t="b">
        <f t="shared" si="11"/>
        <v>1</v>
      </c>
      <c r="G25" t="b">
        <f t="shared" si="11"/>
        <v>1</v>
      </c>
      <c r="H25" t="b">
        <f t="shared" si="11"/>
        <v>1</v>
      </c>
      <c r="I25" t="b">
        <f t="shared" si="11"/>
        <v>1</v>
      </c>
      <c r="J25" t="b">
        <f t="shared" si="11"/>
        <v>1</v>
      </c>
      <c r="K25" t="b">
        <f t="shared" si="11"/>
        <v>1</v>
      </c>
      <c r="L25" t="b">
        <f t="shared" si="11"/>
        <v>1</v>
      </c>
      <c r="M25" t="b">
        <f t="shared" si="11"/>
        <v>1</v>
      </c>
      <c r="N25" t="b">
        <f t="shared" si="11"/>
        <v>1</v>
      </c>
      <c r="O25" t="b">
        <f t="shared" si="11"/>
        <v>1</v>
      </c>
      <c r="P25" t="b">
        <f t="shared" si="11"/>
        <v>1</v>
      </c>
      <c r="Q25" t="b">
        <f t="shared" si="11"/>
        <v>1</v>
      </c>
    </row>
    <row r="26" spans="1:18" ht="14.4" x14ac:dyDescent="0.3">
      <c r="A26" t="s">
        <v>31</v>
      </c>
      <c r="C26" s="12">
        <f>COUNTIF(C16:C21,TRUE) / 6</f>
        <v>0.5</v>
      </c>
      <c r="D26" s="12">
        <f t="shared" ref="D26:Q26" si="12">COUNTIF(D16:D21,TRUE) / 6</f>
        <v>0.5</v>
      </c>
      <c r="E26" s="12">
        <f t="shared" si="12"/>
        <v>0.33333333333333331</v>
      </c>
      <c r="F26" s="12">
        <f t="shared" si="12"/>
        <v>0.33333333333333331</v>
      </c>
      <c r="G26" s="12">
        <f t="shared" si="12"/>
        <v>0.66666666666666663</v>
      </c>
      <c r="H26" s="12">
        <f t="shared" si="12"/>
        <v>0.66666666666666663</v>
      </c>
      <c r="I26" s="12">
        <f t="shared" si="12"/>
        <v>0.66666666666666663</v>
      </c>
      <c r="J26" s="12">
        <f t="shared" si="12"/>
        <v>0.66666666666666663</v>
      </c>
      <c r="K26" s="12">
        <f t="shared" si="12"/>
        <v>0.66666666666666663</v>
      </c>
      <c r="L26" s="12">
        <f t="shared" si="12"/>
        <v>0.66666666666666663</v>
      </c>
      <c r="M26" s="12">
        <f t="shared" si="12"/>
        <v>0.5</v>
      </c>
      <c r="N26" s="12">
        <f t="shared" si="12"/>
        <v>0.5</v>
      </c>
      <c r="O26" s="12">
        <f t="shared" si="12"/>
        <v>0.5</v>
      </c>
      <c r="P26" s="12">
        <f t="shared" si="12"/>
        <v>0.83333333333333337</v>
      </c>
      <c r="Q26" s="12">
        <f t="shared" si="12"/>
        <v>0.83333333333333337</v>
      </c>
    </row>
    <row r="28" spans="1:18" ht="15" customHeight="1" x14ac:dyDescent="0.3">
      <c r="A28" t="s">
        <v>33</v>
      </c>
      <c r="C28" s="3">
        <f t="shared" ref="C28:Q28" si="13">C2-C1</f>
        <v>-2.0833333333333333E-3</v>
      </c>
      <c r="D28" s="3">
        <f t="shared" si="13"/>
        <v>-2.7777777777777779E-3</v>
      </c>
      <c r="E28" s="3">
        <f t="shared" si="13"/>
        <v>-3.472222222222222E-3</v>
      </c>
      <c r="F28" s="3">
        <f t="shared" si="13"/>
        <v>-4.0046296296296297E-3</v>
      </c>
      <c r="G28" s="3">
        <f t="shared" si="13"/>
        <v>2.9629629629629632E-3</v>
      </c>
      <c r="H28" s="3">
        <f t="shared" si="13"/>
        <v>2.2685185185185239E-3</v>
      </c>
      <c r="I28" s="3">
        <f t="shared" si="13"/>
        <v>1.5740740740740732E-3</v>
      </c>
      <c r="J28" s="3">
        <f t="shared" si="13"/>
        <v>8.7962962962963385E-4</v>
      </c>
      <c r="K28" s="3">
        <f t="shared" si="13"/>
        <v>1.851851851851832E-4</v>
      </c>
      <c r="L28" s="3">
        <f t="shared" si="13"/>
        <v>-5.0925925925925618E-4</v>
      </c>
      <c r="M28" s="3">
        <f t="shared" si="13"/>
        <v>-1.2037037037037068E-3</v>
      </c>
      <c r="N28" s="3">
        <f t="shared" si="13"/>
        <v>-1.8981481481481471E-3</v>
      </c>
      <c r="O28" s="3">
        <f t="shared" si="13"/>
        <v>-2.5925925925926272E-3</v>
      </c>
      <c r="P28" s="3">
        <f t="shared" si="13"/>
        <v>3.5879629629629629E-3</v>
      </c>
      <c r="Q28" s="3">
        <f t="shared" si="13"/>
        <v>8.7962962962962951E-4</v>
      </c>
      <c r="R28" t="s">
        <v>61</v>
      </c>
    </row>
    <row r="29" spans="1:18" ht="15" customHeight="1" x14ac:dyDescent="0.3">
      <c r="A29" t="s">
        <v>33</v>
      </c>
      <c r="C29" s="3">
        <f t="shared" ref="C29:Q29" si="14">C1-C2</f>
        <v>2.0833333333333333E-3</v>
      </c>
      <c r="D29" s="3">
        <f t="shared" si="14"/>
        <v>2.7777777777777779E-3</v>
      </c>
      <c r="E29" s="3">
        <f t="shared" si="14"/>
        <v>3.472222222222222E-3</v>
      </c>
      <c r="F29" s="3">
        <f t="shared" si="14"/>
        <v>4.0046296296296297E-3</v>
      </c>
      <c r="G29" s="3">
        <f t="shared" si="14"/>
        <v>-2.9629629629629632E-3</v>
      </c>
      <c r="H29" s="3">
        <f t="shared" si="14"/>
        <v>-2.2685185185185239E-3</v>
      </c>
      <c r="I29" s="3">
        <f t="shared" si="14"/>
        <v>-1.5740740740740732E-3</v>
      </c>
      <c r="J29" s="3">
        <f t="shared" si="14"/>
        <v>-8.7962962962963385E-4</v>
      </c>
      <c r="K29" s="3">
        <f t="shared" si="14"/>
        <v>-1.851851851851832E-4</v>
      </c>
      <c r="L29" s="3">
        <f t="shared" si="14"/>
        <v>5.0925925925925618E-4</v>
      </c>
      <c r="M29" s="3">
        <f t="shared" si="14"/>
        <v>1.2037037037037068E-3</v>
      </c>
      <c r="N29" s="3">
        <f t="shared" si="14"/>
        <v>1.8981481481481471E-3</v>
      </c>
      <c r="O29" s="3">
        <f t="shared" si="14"/>
        <v>2.5925925925926272E-3</v>
      </c>
      <c r="P29" s="3">
        <f t="shared" si="14"/>
        <v>-3.5879629629629629E-3</v>
      </c>
      <c r="Q29" s="3">
        <f t="shared" si="14"/>
        <v>-8.7962962962962951E-4</v>
      </c>
      <c r="R29" t="s">
        <v>62</v>
      </c>
    </row>
    <row r="31" spans="1:18" ht="15" customHeight="1" x14ac:dyDescent="0.3">
      <c r="A31" t="s">
        <v>38</v>
      </c>
      <c r="C31" s="12">
        <f>C40</f>
        <v>0.82051282051282048</v>
      </c>
      <c r="D31" s="12">
        <f t="shared" ref="D31:Q31" si="15">D40</f>
        <v>0.82051282051282048</v>
      </c>
      <c r="E31" s="12">
        <f t="shared" si="15"/>
        <v>0.82051282051282048</v>
      </c>
      <c r="F31" s="12">
        <f t="shared" si="15"/>
        <v>0.79487179487179493</v>
      </c>
      <c r="G31" s="12">
        <f t="shared" si="15"/>
        <v>0.97435897435897434</v>
      </c>
      <c r="H31" s="12">
        <f t="shared" si="15"/>
        <v>0.97435897435897434</v>
      </c>
      <c r="I31" s="12">
        <f t="shared" si="15"/>
        <v>0.97435897435897434</v>
      </c>
      <c r="J31" s="12">
        <f t="shared" si="15"/>
        <v>0.97435897435897434</v>
      </c>
      <c r="K31" s="12">
        <f t="shared" si="15"/>
        <v>0.97435897435897434</v>
      </c>
      <c r="L31" s="12">
        <f t="shared" si="15"/>
        <v>0.97435897435897434</v>
      </c>
      <c r="M31" s="12">
        <f t="shared" si="15"/>
        <v>0.97435897435897434</v>
      </c>
      <c r="N31" s="12">
        <f t="shared" si="15"/>
        <v>0.97435897435897434</v>
      </c>
      <c r="O31" s="12">
        <f t="shared" si="15"/>
        <v>0.97435897435897434</v>
      </c>
      <c r="P31" s="12">
        <f t="shared" si="15"/>
        <v>0.94871794871794868</v>
      </c>
      <c r="Q31" s="12">
        <f t="shared" si="15"/>
        <v>0.92307692307692313</v>
      </c>
    </row>
    <row r="34" spans="1:17" ht="15" customHeight="1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ht="15" customHeight="1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ht="15" customHeight="1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ht="15" customHeight="1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ht="15" customHeight="1" x14ac:dyDescent="0.3">
      <c r="A38">
        <v>3600</v>
      </c>
      <c r="B38" t="s">
        <v>16</v>
      </c>
      <c r="C38">
        <v>5</v>
      </c>
      <c r="D38">
        <v>5</v>
      </c>
      <c r="E38">
        <v>5</v>
      </c>
      <c r="F38">
        <v>6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ht="15" customHeight="1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1</v>
      </c>
      <c r="Q39">
        <v>2</v>
      </c>
    </row>
    <row r="40" spans="1:17" ht="15" customHeight="1" x14ac:dyDescent="0.3">
      <c r="C40" s="12">
        <f>1-SUM(C34:C39)/39</f>
        <v>0.82051282051282048</v>
      </c>
      <c r="D40" s="12">
        <f t="shared" ref="D40:Q40" si="16">1-SUM(D34:D39)/39</f>
        <v>0.82051282051282048</v>
      </c>
      <c r="E40" s="12">
        <f t="shared" si="16"/>
        <v>0.82051282051282048</v>
      </c>
      <c r="F40" s="12">
        <f t="shared" si="16"/>
        <v>0.79487179487179493</v>
      </c>
      <c r="G40" s="12">
        <f t="shared" si="16"/>
        <v>0.97435897435897434</v>
      </c>
      <c r="H40" s="12">
        <f t="shared" si="16"/>
        <v>0.97435897435897434</v>
      </c>
      <c r="I40" s="12">
        <f t="shared" si="16"/>
        <v>0.97435897435897434</v>
      </c>
      <c r="J40" s="12">
        <f t="shared" si="16"/>
        <v>0.97435897435897434</v>
      </c>
      <c r="K40" s="12">
        <f t="shared" si="16"/>
        <v>0.97435897435897434</v>
      </c>
      <c r="L40" s="12">
        <f t="shared" si="16"/>
        <v>0.97435897435897434</v>
      </c>
      <c r="M40" s="12">
        <f t="shared" si="16"/>
        <v>0.97435897435897434</v>
      </c>
      <c r="N40" s="12">
        <f t="shared" si="16"/>
        <v>0.97435897435897434</v>
      </c>
      <c r="O40" s="12">
        <f t="shared" si="16"/>
        <v>0.97435897435897434</v>
      </c>
      <c r="P40" s="12">
        <f t="shared" si="16"/>
        <v>0.94871794871794868</v>
      </c>
      <c r="Q40" s="12">
        <f t="shared" si="16"/>
        <v>0.92307692307692313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6F477-27DD-4809-8BF7-35AB2C8B1879}">
  <dimension ref="A1:T40"/>
  <sheetViews>
    <sheetView topLeftCell="B8" workbookViewId="0">
      <selection activeCell="F43" sqref="F43"/>
    </sheetView>
  </sheetViews>
  <sheetFormatPr defaultRowHeight="14.4" x14ac:dyDescent="0.3"/>
  <cols>
    <col min="1" max="17" width="10.6640625" customWidth="1"/>
  </cols>
  <sheetData>
    <row r="1" spans="1:20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x14ac:dyDescent="0.3">
      <c r="A2" s="20" t="s">
        <v>2</v>
      </c>
      <c r="B2" s="21" t="s">
        <v>3</v>
      </c>
      <c r="C2" s="22">
        <v>1.7592592592592594E-2</v>
      </c>
      <c r="D2" s="22">
        <v>1.7592592592592594E-2</v>
      </c>
      <c r="E2" s="22">
        <v>1.7592592592592594E-2</v>
      </c>
      <c r="F2" s="22">
        <v>1.7592592592592594E-2</v>
      </c>
      <c r="G2" s="22">
        <v>1.7592592592592594E-2</v>
      </c>
      <c r="H2" s="22">
        <v>1.7592592592592594E-2</v>
      </c>
      <c r="I2" s="22">
        <v>1.7592592592592594E-2</v>
      </c>
      <c r="J2" s="22">
        <v>1.7592592592592594E-2</v>
      </c>
      <c r="K2" s="22">
        <v>1.7592592592592594E-2</v>
      </c>
      <c r="L2" s="22">
        <v>1.7592592592592594E-2</v>
      </c>
      <c r="M2" s="22">
        <v>1.7592592592592594E-2</v>
      </c>
      <c r="N2" s="22">
        <v>1.7592592592592594E-2</v>
      </c>
      <c r="O2" s="22">
        <v>1.7592592592592594E-2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x14ac:dyDescent="0.3">
      <c r="A3" s="2">
        <v>1700</v>
      </c>
      <c r="B3" s="7" t="s">
        <v>6</v>
      </c>
      <c r="C3" s="3">
        <v>1.5509259259259259E-3</v>
      </c>
      <c r="D3" s="3">
        <v>1.5509259259259259E-3</v>
      </c>
      <c r="E3" s="3">
        <v>1.5509259259259259E-3</v>
      </c>
      <c r="F3" s="3">
        <v>1.5509259259259259E-3</v>
      </c>
      <c r="G3" s="3">
        <v>1.5509259259259259E-3</v>
      </c>
      <c r="H3" s="3">
        <v>1.5509259259259259E-3</v>
      </c>
      <c r="I3" s="3">
        <v>1.5509259259259259E-3</v>
      </c>
      <c r="J3" s="3">
        <v>1.5509259259259259E-3</v>
      </c>
      <c r="K3" s="3">
        <v>1.5509259259259259E-3</v>
      </c>
      <c r="L3" s="3">
        <v>1.5509259259259259E-3</v>
      </c>
      <c r="M3" s="3">
        <v>1.5509259259259259E-3</v>
      </c>
      <c r="N3" s="3">
        <v>1.5509259259259259E-3</v>
      </c>
      <c r="O3" s="3">
        <v>1.5509259259259259E-3</v>
      </c>
      <c r="P3" s="3">
        <v>1.5509259259259259E-3</v>
      </c>
      <c r="Q3" s="3">
        <v>1.5509259259259259E-3</v>
      </c>
      <c r="R3" t="s">
        <v>7</v>
      </c>
    </row>
    <row r="4" spans="1:20" x14ac:dyDescent="0.3">
      <c r="A4" s="2">
        <v>7000</v>
      </c>
      <c r="B4" s="7" t="s">
        <v>9</v>
      </c>
      <c r="C4" s="3">
        <v>1.3657407407407407E-3</v>
      </c>
      <c r="D4" s="3">
        <v>1.3657407407407407E-3</v>
      </c>
      <c r="E4" s="3">
        <v>1.3657407407407407E-3</v>
      </c>
      <c r="F4" s="3">
        <v>1.3657407407407407E-3</v>
      </c>
      <c r="G4" s="3">
        <v>1.3657407407407407E-3</v>
      </c>
      <c r="H4" s="3">
        <v>1.3657407407407407E-3</v>
      </c>
      <c r="I4" s="3">
        <v>1.3657407407407407E-3</v>
      </c>
      <c r="J4" s="3">
        <v>1.3657407407407407E-3</v>
      </c>
      <c r="K4" s="3">
        <v>1.3657407407407407E-3</v>
      </c>
      <c r="L4" s="3">
        <v>1.3657407407407407E-3</v>
      </c>
      <c r="M4" s="3">
        <v>1.3657407407407407E-3</v>
      </c>
      <c r="N4" s="3">
        <v>1.3657407407407407E-3</v>
      </c>
      <c r="O4" s="3">
        <v>1.3657407407407407E-3</v>
      </c>
      <c r="P4" s="3">
        <v>1.3657407407407407E-3</v>
      </c>
      <c r="Q4" s="3">
        <v>1.3657407407407407E-3</v>
      </c>
      <c r="R4" t="s">
        <v>10</v>
      </c>
    </row>
    <row r="5" spans="1:20" x14ac:dyDescent="0.3">
      <c r="A5" s="2">
        <v>31200</v>
      </c>
      <c r="B5" s="7" t="s">
        <v>11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x14ac:dyDescent="0.3">
      <c r="A6" s="2">
        <v>7900</v>
      </c>
      <c r="B6" s="7" t="s">
        <v>13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t="s">
        <v>14</v>
      </c>
    </row>
    <row r="7" spans="1:20" x14ac:dyDescent="0.3">
      <c r="A7" s="2">
        <v>31300</v>
      </c>
      <c r="B7" s="7" t="s">
        <v>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x14ac:dyDescent="0.3">
      <c r="A8" s="2">
        <v>3600</v>
      </c>
      <c r="B8" s="7" t="s">
        <v>16</v>
      </c>
      <c r="C8" s="3">
        <v>9.4907407407407408E-4</v>
      </c>
      <c r="D8" s="3">
        <v>9.4907407407407408E-4</v>
      </c>
      <c r="E8" s="3">
        <v>9.4907407407407408E-4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3">
        <v>1.6203703703703703E-4</v>
      </c>
      <c r="O9" s="3">
        <v>8.564814814814815E-4</v>
      </c>
      <c r="P9" s="3">
        <v>0</v>
      </c>
      <c r="Q9" s="3">
        <v>0</v>
      </c>
      <c r="R9" t="s">
        <v>19</v>
      </c>
    </row>
    <row r="10" spans="1:20" x14ac:dyDescent="0.3">
      <c r="A10" s="4">
        <v>31200</v>
      </c>
      <c r="B10" s="8" t="s">
        <v>18</v>
      </c>
      <c r="C10" s="5">
        <v>1.1574074074074075E-4</v>
      </c>
      <c r="D10" s="5">
        <v>1.1574074074074075E-4</v>
      </c>
      <c r="E10" s="5">
        <v>1.1574074074074075E-4</v>
      </c>
      <c r="F10" s="5">
        <v>1.1574074074074075E-4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x14ac:dyDescent="0.3">
      <c r="A11" s="2">
        <v>31200</v>
      </c>
      <c r="B11" s="7" t="s">
        <v>24</v>
      </c>
      <c r="C11" s="3">
        <v>1.6203703703703703E-4</v>
      </c>
      <c r="D11" s="3">
        <v>1.6203703703703703E-4</v>
      </c>
      <c r="E11" s="3">
        <v>1.6203703703703703E-4</v>
      </c>
      <c r="F11" s="3">
        <v>1.6203703703703703E-4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x14ac:dyDescent="0.3">
      <c r="A12" s="2">
        <v>7900</v>
      </c>
      <c r="B12" s="7" t="s">
        <v>16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 x14ac:dyDescent="0.3">
      <c r="A13" s="9" t="s">
        <v>25</v>
      </c>
      <c r="B13" s="9"/>
      <c r="C13" s="10">
        <f t="shared" ref="C13:Q13" si="0">SUM(C3:C8)</f>
        <v>3.8657407407407403E-3</v>
      </c>
      <c r="D13" s="10">
        <f t="shared" si="0"/>
        <v>3.8657407407407403E-3</v>
      </c>
      <c r="E13" s="10">
        <f t="shared" si="0"/>
        <v>3.8657407407407403E-3</v>
      </c>
      <c r="F13" s="10">
        <f t="shared" si="0"/>
        <v>3.8657407407407403E-3</v>
      </c>
      <c r="G13" s="10">
        <f t="shared" si="0"/>
        <v>3.8657407407407403E-3</v>
      </c>
      <c r="H13" s="10">
        <f t="shared" si="0"/>
        <v>3.8657407407407403E-3</v>
      </c>
      <c r="I13" s="10">
        <f t="shared" si="0"/>
        <v>3.8657407407407403E-3</v>
      </c>
      <c r="J13" s="10">
        <f t="shared" si="0"/>
        <v>3.8657407407407403E-3</v>
      </c>
      <c r="K13" s="10">
        <f t="shared" si="0"/>
        <v>3.8657407407407403E-3</v>
      </c>
      <c r="L13" s="10">
        <f t="shared" si="0"/>
        <v>3.8657407407407403E-3</v>
      </c>
      <c r="M13" s="10">
        <f t="shared" si="0"/>
        <v>3.8657407407407403E-3</v>
      </c>
      <c r="N13" s="10">
        <f t="shared" si="0"/>
        <v>3.8657407407407403E-3</v>
      </c>
      <c r="O13" s="10">
        <f t="shared" si="0"/>
        <v>3.8657407407407403E-3</v>
      </c>
      <c r="P13" s="10">
        <f t="shared" si="0"/>
        <v>3.8657407407407403E-3</v>
      </c>
      <c r="Q13" s="10">
        <f t="shared" si="0"/>
        <v>3.8657407407407403E-3</v>
      </c>
    </row>
    <row r="15" spans="1:20" x14ac:dyDescent="0.3">
      <c r="A15" s="2" t="s">
        <v>2</v>
      </c>
      <c r="B15" s="2" t="s">
        <v>3</v>
      </c>
      <c r="C15" t="b">
        <f t="shared" ref="C15:D15" si="1">C2&lt;6/1440</f>
        <v>0</v>
      </c>
      <c r="D15" t="b">
        <f t="shared" si="1"/>
        <v>0</v>
      </c>
      <c r="E15" t="b">
        <f>E2&lt;6/1440</f>
        <v>0</v>
      </c>
      <c r="F15" t="b">
        <f t="shared" ref="F15:Q15" si="2">F2&lt;6/1440</f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" x14ac:dyDescent="0.3">
      <c r="A16" s="2">
        <v>1700</v>
      </c>
      <c r="B16" s="2" t="s">
        <v>6</v>
      </c>
      <c r="C16" t="b">
        <f t="shared" ref="C16:E21" si="3">C3&lt;3/1440</f>
        <v>1</v>
      </c>
      <c r="D16" t="b">
        <f t="shared" si="3"/>
        <v>1</v>
      </c>
      <c r="E16" t="b">
        <f t="shared" si="3"/>
        <v>1</v>
      </c>
      <c r="F16" t="b">
        <f t="shared" ref="F16:Q21" si="4">F3&lt;3/1440</f>
        <v>1</v>
      </c>
      <c r="G16" t="b">
        <f t="shared" si="4"/>
        <v>1</v>
      </c>
      <c r="H16" t="b">
        <f t="shared" si="4"/>
        <v>1</v>
      </c>
      <c r="I16" t="b">
        <f t="shared" si="4"/>
        <v>1</v>
      </c>
      <c r="J16" t="b">
        <f t="shared" si="4"/>
        <v>1</v>
      </c>
      <c r="K16" t="b">
        <f t="shared" si="4"/>
        <v>1</v>
      </c>
      <c r="L16" t="b">
        <f t="shared" si="4"/>
        <v>1</v>
      </c>
      <c r="M16" t="b">
        <f t="shared" si="4"/>
        <v>1</v>
      </c>
      <c r="N16" t="b">
        <f t="shared" si="4"/>
        <v>1</v>
      </c>
      <c r="O16" t="b">
        <f t="shared" si="4"/>
        <v>1</v>
      </c>
      <c r="P16" t="b">
        <f t="shared" si="4"/>
        <v>1</v>
      </c>
      <c r="Q16" t="b">
        <f t="shared" si="4"/>
        <v>1</v>
      </c>
    </row>
    <row r="17" spans="1:18" x14ac:dyDescent="0.3">
      <c r="A17" s="2">
        <v>7000</v>
      </c>
      <c r="B17" s="2" t="s">
        <v>9</v>
      </c>
      <c r="C17" t="b">
        <f t="shared" si="3"/>
        <v>1</v>
      </c>
      <c r="D17" t="b">
        <f t="shared" si="3"/>
        <v>1</v>
      </c>
      <c r="E17" t="b">
        <f t="shared" si="3"/>
        <v>1</v>
      </c>
      <c r="F17" t="b">
        <f t="shared" ref="F17:O17" si="5">F4&lt;3/1440</f>
        <v>1</v>
      </c>
      <c r="G17" t="b">
        <f t="shared" si="5"/>
        <v>1</v>
      </c>
      <c r="H17" t="b">
        <f t="shared" si="5"/>
        <v>1</v>
      </c>
      <c r="I17" t="b">
        <f t="shared" si="5"/>
        <v>1</v>
      </c>
      <c r="J17" t="b">
        <f t="shared" si="5"/>
        <v>1</v>
      </c>
      <c r="K17" t="b">
        <f t="shared" si="5"/>
        <v>1</v>
      </c>
      <c r="L17" t="b">
        <f t="shared" si="5"/>
        <v>1</v>
      </c>
      <c r="M17" t="b">
        <f t="shared" si="5"/>
        <v>1</v>
      </c>
      <c r="N17" t="b">
        <f t="shared" si="5"/>
        <v>1</v>
      </c>
      <c r="O17" t="b">
        <f t="shared" si="5"/>
        <v>1</v>
      </c>
      <c r="P17" t="b">
        <f t="shared" si="4"/>
        <v>1</v>
      </c>
      <c r="Q17" t="b">
        <f t="shared" si="4"/>
        <v>1</v>
      </c>
    </row>
    <row r="18" spans="1:18" x14ac:dyDescent="0.3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1</v>
      </c>
      <c r="F18" t="b">
        <f t="shared" ref="F18:O18" si="6">F5&lt;3/1440</f>
        <v>1</v>
      </c>
      <c r="G18" t="b">
        <f t="shared" si="6"/>
        <v>1</v>
      </c>
      <c r="H18" t="b">
        <f t="shared" si="6"/>
        <v>1</v>
      </c>
      <c r="I18" t="b">
        <f t="shared" si="6"/>
        <v>1</v>
      </c>
      <c r="J18" t="b">
        <f t="shared" si="6"/>
        <v>1</v>
      </c>
      <c r="K18" t="b">
        <f t="shared" si="6"/>
        <v>1</v>
      </c>
      <c r="L18" t="b">
        <f t="shared" si="6"/>
        <v>1</v>
      </c>
      <c r="M18" t="b">
        <f t="shared" si="6"/>
        <v>1</v>
      </c>
      <c r="N18" t="b">
        <f t="shared" si="6"/>
        <v>1</v>
      </c>
      <c r="O18" t="b">
        <f t="shared" si="6"/>
        <v>1</v>
      </c>
      <c r="P18" t="b">
        <f t="shared" si="4"/>
        <v>1</v>
      </c>
      <c r="Q18" t="b">
        <f t="shared" si="4"/>
        <v>1</v>
      </c>
    </row>
    <row r="19" spans="1:18" x14ac:dyDescent="0.3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ref="F19:O19" si="7">F6&lt;3/1440</f>
        <v>1</v>
      </c>
      <c r="G19" t="b">
        <f t="shared" si="7"/>
        <v>1</v>
      </c>
      <c r="H19" t="b">
        <f t="shared" si="7"/>
        <v>1</v>
      </c>
      <c r="I19" t="b">
        <f t="shared" si="7"/>
        <v>1</v>
      </c>
      <c r="J19" t="b">
        <f t="shared" si="7"/>
        <v>1</v>
      </c>
      <c r="K19" t="b">
        <f t="shared" si="7"/>
        <v>1</v>
      </c>
      <c r="L19" t="b">
        <f t="shared" si="7"/>
        <v>1</v>
      </c>
      <c r="M19" t="b">
        <f t="shared" si="7"/>
        <v>1</v>
      </c>
      <c r="N19" t="b">
        <f t="shared" si="7"/>
        <v>1</v>
      </c>
      <c r="O19" t="b">
        <f t="shared" si="7"/>
        <v>1</v>
      </c>
      <c r="P19" t="b">
        <f t="shared" si="4"/>
        <v>1</v>
      </c>
      <c r="Q19" t="b">
        <f t="shared" si="4"/>
        <v>1</v>
      </c>
    </row>
    <row r="20" spans="1:18" x14ac:dyDescent="0.3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ref="F20:O21" si="8">F7&lt;3/1440</f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si="4"/>
        <v>1</v>
      </c>
      <c r="Q20" t="b">
        <f t="shared" si="4"/>
        <v>1</v>
      </c>
    </row>
    <row r="21" spans="1:18" x14ac:dyDescent="0.3">
      <c r="A21" s="2">
        <v>3600</v>
      </c>
      <c r="B21" s="2" t="s">
        <v>16</v>
      </c>
      <c r="C21" t="b">
        <f t="shared" si="3"/>
        <v>1</v>
      </c>
      <c r="D21" t="b">
        <f t="shared" si="3"/>
        <v>1</v>
      </c>
      <c r="E21" t="b">
        <f t="shared" si="3"/>
        <v>1</v>
      </c>
      <c r="F21" t="b">
        <f t="shared" si="8"/>
        <v>1</v>
      </c>
      <c r="G21" t="b">
        <f t="shared" si="8"/>
        <v>1</v>
      </c>
      <c r="H21" t="b">
        <f t="shared" si="8"/>
        <v>1</v>
      </c>
      <c r="I21" t="b">
        <f t="shared" si="8"/>
        <v>1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4"/>
        <v>1</v>
      </c>
      <c r="Q21" t="b">
        <f t="shared" si="4"/>
        <v>1</v>
      </c>
    </row>
    <row r="22" spans="1:18" x14ac:dyDescent="0.3">
      <c r="A22" s="2">
        <v>20350</v>
      </c>
      <c r="B22" s="2" t="s">
        <v>18</v>
      </c>
      <c r="C22" t="b">
        <f t="shared" ref="C22:Q23" si="9">C9&lt;3/1440</f>
        <v>1</v>
      </c>
      <c r="D22" t="b">
        <f t="shared" si="9"/>
        <v>1</v>
      </c>
      <c r="E22" t="b">
        <f t="shared" si="9"/>
        <v>1</v>
      </c>
      <c r="F22" t="b">
        <f t="shared" si="9"/>
        <v>1</v>
      </c>
      <c r="G22" t="b">
        <f t="shared" si="9"/>
        <v>1</v>
      </c>
      <c r="H22" t="b">
        <f t="shared" si="9"/>
        <v>1</v>
      </c>
      <c r="I22" t="b">
        <f t="shared" si="9"/>
        <v>1</v>
      </c>
      <c r="J22" t="b">
        <f t="shared" si="9"/>
        <v>1</v>
      </c>
      <c r="K22" t="b">
        <f t="shared" si="9"/>
        <v>1</v>
      </c>
      <c r="L22" t="b">
        <f t="shared" si="9"/>
        <v>1</v>
      </c>
      <c r="M22" t="b">
        <f t="shared" si="9"/>
        <v>1</v>
      </c>
      <c r="N22" t="b">
        <f t="shared" si="9"/>
        <v>1</v>
      </c>
      <c r="O22" t="b">
        <f t="shared" si="9"/>
        <v>1</v>
      </c>
      <c r="P22" t="b">
        <f t="shared" si="9"/>
        <v>1</v>
      </c>
      <c r="Q22" t="b">
        <f t="shared" si="9"/>
        <v>1</v>
      </c>
    </row>
    <row r="23" spans="1:18" x14ac:dyDescent="0.3">
      <c r="A23" s="2">
        <v>31200</v>
      </c>
      <c r="B23" s="2" t="s">
        <v>18</v>
      </c>
      <c r="C23" t="b">
        <f t="shared" si="9"/>
        <v>1</v>
      </c>
      <c r="D23" t="b">
        <f t="shared" si="9"/>
        <v>1</v>
      </c>
      <c r="E23" t="b">
        <f t="shared" si="9"/>
        <v>1</v>
      </c>
      <c r="F23" t="b">
        <f t="shared" si="9"/>
        <v>1</v>
      </c>
      <c r="G23" t="b">
        <f t="shared" si="9"/>
        <v>1</v>
      </c>
      <c r="H23" t="b">
        <f t="shared" si="9"/>
        <v>1</v>
      </c>
      <c r="I23" t="b">
        <f t="shared" si="9"/>
        <v>1</v>
      </c>
      <c r="J23" t="b">
        <f t="shared" si="9"/>
        <v>1</v>
      </c>
      <c r="K23" t="b">
        <f t="shared" si="9"/>
        <v>1</v>
      </c>
      <c r="L23" t="b">
        <f t="shared" si="9"/>
        <v>1</v>
      </c>
      <c r="M23" t="b">
        <f t="shared" si="9"/>
        <v>1</v>
      </c>
      <c r="N23" t="b">
        <f t="shared" si="9"/>
        <v>1</v>
      </c>
      <c r="O23" t="b">
        <f t="shared" si="9"/>
        <v>1</v>
      </c>
      <c r="P23" t="b">
        <f t="shared" si="9"/>
        <v>1</v>
      </c>
      <c r="Q23" t="b">
        <f t="shared" si="9"/>
        <v>1</v>
      </c>
    </row>
    <row r="24" spans="1:18" x14ac:dyDescent="0.3">
      <c r="A24" s="2">
        <v>31200</v>
      </c>
      <c r="B24" s="2" t="s">
        <v>24</v>
      </c>
      <c r="C24" t="b">
        <f t="shared" ref="C24:D24" si="10">C10&lt;3/1440</f>
        <v>1</v>
      </c>
      <c r="D24" t="b">
        <f t="shared" si="10"/>
        <v>1</v>
      </c>
      <c r="E24" t="b">
        <f t="shared" ref="E24:O24" si="11">E10&lt;3/1440</f>
        <v>1</v>
      </c>
      <c r="F24" t="b">
        <f t="shared" si="11"/>
        <v>1</v>
      </c>
      <c r="G24" t="b">
        <f t="shared" si="11"/>
        <v>1</v>
      </c>
      <c r="H24" t="b">
        <f t="shared" si="11"/>
        <v>1</v>
      </c>
      <c r="I24" t="b">
        <f t="shared" si="11"/>
        <v>1</v>
      </c>
      <c r="J24" t="b">
        <f t="shared" si="11"/>
        <v>1</v>
      </c>
      <c r="K24" t="b">
        <f t="shared" si="11"/>
        <v>1</v>
      </c>
      <c r="L24" t="b">
        <f t="shared" si="11"/>
        <v>1</v>
      </c>
      <c r="M24" t="b">
        <f t="shared" si="11"/>
        <v>1</v>
      </c>
      <c r="N24" t="b">
        <f t="shared" si="11"/>
        <v>1</v>
      </c>
      <c r="O24" t="b">
        <f t="shared" si="11"/>
        <v>1</v>
      </c>
      <c r="P24" t="b">
        <f t="shared" ref="P24:Q24" si="12">P10&lt;3/1440</f>
        <v>1</v>
      </c>
      <c r="Q24" t="b">
        <f t="shared" si="12"/>
        <v>1</v>
      </c>
    </row>
    <row r="25" spans="1:18" x14ac:dyDescent="0.3">
      <c r="A25" s="2">
        <v>7900</v>
      </c>
      <c r="B25" s="2" t="s">
        <v>16</v>
      </c>
      <c r="C25" t="b">
        <f t="shared" ref="C25:Q25" si="13">C12&lt;3/1440</f>
        <v>1</v>
      </c>
      <c r="D25" t="b">
        <f t="shared" si="13"/>
        <v>1</v>
      </c>
      <c r="E25" t="b">
        <f t="shared" si="13"/>
        <v>1</v>
      </c>
      <c r="F25" t="b">
        <f t="shared" si="13"/>
        <v>1</v>
      </c>
      <c r="G25" t="b">
        <f t="shared" si="13"/>
        <v>1</v>
      </c>
      <c r="H25" t="b">
        <f t="shared" si="13"/>
        <v>1</v>
      </c>
      <c r="I25" t="b">
        <f t="shared" si="13"/>
        <v>1</v>
      </c>
      <c r="J25" t="b">
        <f t="shared" si="13"/>
        <v>1</v>
      </c>
      <c r="K25" t="b">
        <f t="shared" si="13"/>
        <v>1</v>
      </c>
      <c r="L25" t="b">
        <f t="shared" si="13"/>
        <v>1</v>
      </c>
      <c r="M25" t="b">
        <f t="shared" si="13"/>
        <v>1</v>
      </c>
      <c r="N25" t="b">
        <f t="shared" si="13"/>
        <v>1</v>
      </c>
      <c r="O25" t="b">
        <f t="shared" si="13"/>
        <v>1</v>
      </c>
      <c r="P25" t="b">
        <f t="shared" si="13"/>
        <v>1</v>
      </c>
      <c r="Q25" t="b">
        <f t="shared" si="13"/>
        <v>1</v>
      </c>
    </row>
    <row r="26" spans="1:18" x14ac:dyDescent="0.3">
      <c r="A26" t="s">
        <v>31</v>
      </c>
      <c r="C26" s="12">
        <f>COUNTIF(C16:C21,TRUE) / 6</f>
        <v>1</v>
      </c>
      <c r="D26" s="12">
        <f t="shared" ref="D26:Q26" si="14">COUNTIF(D16:D21,TRUE) / 6</f>
        <v>1</v>
      </c>
      <c r="E26" s="12">
        <f t="shared" si="14"/>
        <v>1</v>
      </c>
      <c r="F26" s="12">
        <f t="shared" si="14"/>
        <v>1</v>
      </c>
      <c r="G26" s="12">
        <f t="shared" si="14"/>
        <v>1</v>
      </c>
      <c r="H26" s="12">
        <f t="shared" si="14"/>
        <v>1</v>
      </c>
      <c r="I26" s="12">
        <f t="shared" si="14"/>
        <v>1</v>
      </c>
      <c r="J26" s="12">
        <f t="shared" si="14"/>
        <v>1</v>
      </c>
      <c r="K26" s="12">
        <f t="shared" si="14"/>
        <v>1</v>
      </c>
      <c r="L26" s="12">
        <f t="shared" si="14"/>
        <v>1</v>
      </c>
      <c r="M26" s="12">
        <f t="shared" si="14"/>
        <v>1</v>
      </c>
      <c r="N26" s="12">
        <f t="shared" si="14"/>
        <v>1</v>
      </c>
      <c r="O26" s="12">
        <f t="shared" si="14"/>
        <v>1</v>
      </c>
      <c r="P26" s="12">
        <f t="shared" si="14"/>
        <v>1</v>
      </c>
      <c r="Q26" s="12">
        <f t="shared" si="14"/>
        <v>1</v>
      </c>
    </row>
    <row r="28" spans="1:18" x14ac:dyDescent="0.3">
      <c r="A28" t="s">
        <v>33</v>
      </c>
      <c r="C28" s="3">
        <f t="shared" ref="C28:Q28" si="15">C2-C1</f>
        <v>1.5509259259259261E-2</v>
      </c>
      <c r="D28" s="3">
        <f t="shared" si="15"/>
        <v>1.4814814814814815E-2</v>
      </c>
      <c r="E28" s="3">
        <f t="shared" si="15"/>
        <v>1.4120370370370372E-2</v>
      </c>
      <c r="F28" s="3">
        <f t="shared" si="15"/>
        <v>1.3425925925925928E-2</v>
      </c>
      <c r="G28" s="3">
        <f t="shared" si="15"/>
        <v>1.2731481481481483E-2</v>
      </c>
      <c r="H28" s="3">
        <f t="shared" si="15"/>
        <v>1.2037037037037044E-2</v>
      </c>
      <c r="I28" s="3">
        <f t="shared" si="15"/>
        <v>1.1342592592592593E-2</v>
      </c>
      <c r="J28" s="3">
        <f t="shared" si="15"/>
        <v>1.0648148148148153E-2</v>
      </c>
      <c r="K28" s="3">
        <f t="shared" si="15"/>
        <v>9.9537037037037042E-3</v>
      </c>
      <c r="L28" s="3">
        <f t="shared" si="15"/>
        <v>9.2592592592592639E-3</v>
      </c>
      <c r="M28" s="3">
        <f t="shared" si="15"/>
        <v>8.5648148148148133E-3</v>
      </c>
      <c r="N28" s="3">
        <f t="shared" si="15"/>
        <v>7.8703703703703731E-3</v>
      </c>
      <c r="O28" s="3">
        <f t="shared" si="15"/>
        <v>7.1759259259258929E-3</v>
      </c>
      <c r="P28" s="3">
        <f t="shared" si="15"/>
        <v>3.7037037037037056E-3</v>
      </c>
      <c r="Q28" s="3">
        <f t="shared" si="15"/>
        <v>2.3148148148148182E-4</v>
      </c>
      <c r="R28" t="s">
        <v>61</v>
      </c>
    </row>
    <row r="29" spans="1:18" x14ac:dyDescent="0.3">
      <c r="A29" t="s">
        <v>33</v>
      </c>
      <c r="C29" s="3">
        <f t="shared" ref="C29:Q29" si="16">C1-C2</f>
        <v>-1.5509259259259261E-2</v>
      </c>
      <c r="D29" s="3">
        <f t="shared" si="16"/>
        <v>-1.4814814814814815E-2</v>
      </c>
      <c r="E29" s="3">
        <f t="shared" si="16"/>
        <v>-1.4120370370370372E-2</v>
      </c>
      <c r="F29" s="3">
        <f t="shared" si="16"/>
        <v>-1.3425925925925928E-2</v>
      </c>
      <c r="G29" s="3">
        <f t="shared" si="16"/>
        <v>-1.2731481481481483E-2</v>
      </c>
      <c r="H29" s="3">
        <f t="shared" si="16"/>
        <v>-1.2037037037037044E-2</v>
      </c>
      <c r="I29" s="3">
        <f t="shared" si="16"/>
        <v>-1.1342592592592593E-2</v>
      </c>
      <c r="J29" s="3">
        <f t="shared" si="16"/>
        <v>-1.0648148148148153E-2</v>
      </c>
      <c r="K29" s="3">
        <f t="shared" si="16"/>
        <v>-9.9537037037037042E-3</v>
      </c>
      <c r="L29" s="3">
        <f t="shared" si="16"/>
        <v>-9.2592592592592639E-3</v>
      </c>
      <c r="M29" s="3">
        <f t="shared" si="16"/>
        <v>-8.5648148148148133E-3</v>
      </c>
      <c r="N29" s="3">
        <f t="shared" si="16"/>
        <v>-7.8703703703703731E-3</v>
      </c>
      <c r="O29" s="3">
        <f t="shared" si="16"/>
        <v>-7.1759259259258929E-3</v>
      </c>
      <c r="P29" s="3">
        <f t="shared" si="16"/>
        <v>-3.7037037037037056E-3</v>
      </c>
      <c r="Q29" s="3">
        <f t="shared" si="16"/>
        <v>-2.3148148148148182E-4</v>
      </c>
      <c r="R29" t="s">
        <v>62</v>
      </c>
    </row>
    <row r="31" spans="1:18" x14ac:dyDescent="0.3">
      <c r="A31" t="s">
        <v>38</v>
      </c>
      <c r="C31" s="12">
        <f>C40</f>
        <v>0.97435897435897434</v>
      </c>
      <c r="D31" s="12">
        <f t="shared" ref="D31:Q31" si="17">D40</f>
        <v>0.97435897435897434</v>
      </c>
      <c r="E31" s="12">
        <f t="shared" si="17"/>
        <v>0.97435897435897434</v>
      </c>
      <c r="F31" s="12">
        <f t="shared" si="17"/>
        <v>0.97435897435897434</v>
      </c>
      <c r="G31" s="12">
        <f t="shared" si="17"/>
        <v>0.97435897435897434</v>
      </c>
      <c r="H31" s="12">
        <f t="shared" si="17"/>
        <v>0.97435897435897434</v>
      </c>
      <c r="I31" s="12">
        <f t="shared" si="17"/>
        <v>0.97435897435897434</v>
      </c>
      <c r="J31" s="12">
        <f t="shared" si="17"/>
        <v>0.97435897435897434</v>
      </c>
      <c r="K31" s="12">
        <f t="shared" si="17"/>
        <v>0.97435897435897434</v>
      </c>
      <c r="L31" s="12">
        <f t="shared" si="17"/>
        <v>0.97435897435897434</v>
      </c>
      <c r="M31" s="12">
        <f t="shared" si="17"/>
        <v>0.97435897435897434</v>
      </c>
      <c r="N31" s="12">
        <f t="shared" si="17"/>
        <v>0.97435897435897434</v>
      </c>
      <c r="O31" s="12">
        <f t="shared" si="17"/>
        <v>0.97435897435897434</v>
      </c>
      <c r="P31" s="12">
        <f t="shared" si="17"/>
        <v>0.97435897435897434</v>
      </c>
      <c r="Q31" s="12">
        <f t="shared" si="17"/>
        <v>0.97435897435897434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0.97435897435897434</v>
      </c>
      <c r="D40" s="12">
        <f t="shared" ref="D40:Q40" si="18">1-SUM(D34:D39)/39</f>
        <v>0.97435897435897434</v>
      </c>
      <c r="E40" s="12">
        <f t="shared" si="18"/>
        <v>0.97435897435897434</v>
      </c>
      <c r="F40" s="12">
        <f t="shared" si="18"/>
        <v>0.97435897435897434</v>
      </c>
      <c r="G40" s="12">
        <f t="shared" si="18"/>
        <v>0.97435897435897434</v>
      </c>
      <c r="H40" s="12">
        <f t="shared" si="18"/>
        <v>0.97435897435897434</v>
      </c>
      <c r="I40" s="12">
        <f t="shared" si="18"/>
        <v>0.97435897435897434</v>
      </c>
      <c r="J40" s="12">
        <f t="shared" si="18"/>
        <v>0.97435897435897434</v>
      </c>
      <c r="K40" s="12">
        <f t="shared" si="18"/>
        <v>0.97435897435897434</v>
      </c>
      <c r="L40" s="12">
        <f t="shared" si="18"/>
        <v>0.97435897435897434</v>
      </c>
      <c r="M40" s="12">
        <f t="shared" si="18"/>
        <v>0.97435897435897434</v>
      </c>
      <c r="N40" s="12">
        <f t="shared" si="18"/>
        <v>0.97435897435897434</v>
      </c>
      <c r="O40" s="12">
        <f t="shared" si="18"/>
        <v>0.97435897435897434</v>
      </c>
      <c r="P40" s="12">
        <f t="shared" si="18"/>
        <v>0.97435897435897434</v>
      </c>
      <c r="Q40" s="12">
        <f t="shared" si="18"/>
        <v>0.97435897435897434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5495-E27D-4190-950C-85146D4F1C72}">
  <dimension ref="A1:T40"/>
  <sheetViews>
    <sheetView topLeftCell="A12" workbookViewId="0">
      <selection activeCell="C31" sqref="C31"/>
    </sheetView>
  </sheetViews>
  <sheetFormatPr defaultRowHeight="14.4" x14ac:dyDescent="0.3"/>
  <cols>
    <col min="1" max="2" width="10.6640625" customWidth="1"/>
    <col min="3" max="3" width="11.88671875" customWidth="1"/>
    <col min="4" max="17" width="10.6640625" customWidth="1"/>
  </cols>
  <sheetData>
    <row r="1" spans="1:20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x14ac:dyDescent="0.3">
      <c r="A2" s="20" t="s">
        <v>2</v>
      </c>
      <c r="B2" s="21" t="s">
        <v>3</v>
      </c>
      <c r="C2" s="22">
        <v>0</v>
      </c>
      <c r="D2" s="22">
        <v>0</v>
      </c>
      <c r="E2" s="22">
        <v>0</v>
      </c>
      <c r="F2" s="22">
        <v>3.7037037037037035E-4</v>
      </c>
      <c r="G2" s="22">
        <v>2.0833333333333333E-3</v>
      </c>
      <c r="H2" s="22">
        <v>2.0601851851851853E-3</v>
      </c>
      <c r="I2" s="22">
        <v>2.4537037037037036E-3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1.1319444444444444E-2</v>
      </c>
      <c r="Q2" s="22">
        <v>1.7592592592592594E-2</v>
      </c>
      <c r="R2" t="s">
        <v>4</v>
      </c>
      <c r="T2" t="s">
        <v>60</v>
      </c>
    </row>
    <row r="3" spans="1:20" x14ac:dyDescent="0.3">
      <c r="A3" s="2">
        <v>1700</v>
      </c>
      <c r="B3" s="7" t="s">
        <v>6</v>
      </c>
      <c r="C3" s="3">
        <v>1.8981481481481482E-3</v>
      </c>
      <c r="D3" s="3">
        <v>1.7824074074074075E-3</v>
      </c>
      <c r="E3" s="3">
        <v>2.476851851851852E-3</v>
      </c>
      <c r="F3" s="3">
        <v>3.1712962962962962E-3</v>
      </c>
      <c r="G3" s="3">
        <v>1.136574074074074E-2</v>
      </c>
      <c r="H3" s="3">
        <v>1.136574074074074E-2</v>
      </c>
      <c r="I3" s="3">
        <v>1.136574074074074E-2</v>
      </c>
      <c r="J3" s="3">
        <v>3.7268518518518519E-3</v>
      </c>
      <c r="K3" s="3">
        <v>3.7268518518518519E-3</v>
      </c>
      <c r="L3" s="3">
        <v>6.1111111111111114E-3</v>
      </c>
      <c r="M3" s="3">
        <v>6.1111111111111114E-3</v>
      </c>
      <c r="N3" s="3">
        <v>6.1111111111111114E-3</v>
      </c>
      <c r="O3" s="3">
        <v>6.1111111111111114E-3</v>
      </c>
      <c r="P3" s="3">
        <v>6.1111111111111114E-3</v>
      </c>
      <c r="Q3" s="3">
        <v>1.5509259259259259E-3</v>
      </c>
      <c r="R3" t="s">
        <v>7</v>
      </c>
    </row>
    <row r="4" spans="1:20" x14ac:dyDescent="0.3">
      <c r="A4" s="2">
        <v>7000</v>
      </c>
      <c r="B4" s="7" t="s">
        <v>9</v>
      </c>
      <c r="C4" s="3">
        <v>1.0185185185185184E-3</v>
      </c>
      <c r="D4" s="3">
        <v>1.5972222222222223E-3</v>
      </c>
      <c r="E4" s="3">
        <v>2.2916666666666667E-3</v>
      </c>
      <c r="F4" s="3">
        <v>2.9861111111111113E-3</v>
      </c>
      <c r="G4" s="3">
        <v>4.5601851851851853E-3</v>
      </c>
      <c r="H4" s="3">
        <v>4.6064814814814814E-3</v>
      </c>
      <c r="I4" s="3">
        <v>5.0694444444444441E-3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x14ac:dyDescent="0.3">
      <c r="A5" s="2">
        <v>31200</v>
      </c>
      <c r="B5" s="7" t="s">
        <v>11</v>
      </c>
      <c r="C5" s="3">
        <v>5.5555555555555556E-4</v>
      </c>
      <c r="D5" s="3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x14ac:dyDescent="0.3">
      <c r="A6" s="2">
        <v>7900</v>
      </c>
      <c r="B6" s="7" t="s">
        <v>13</v>
      </c>
      <c r="C6" s="3">
        <v>0</v>
      </c>
      <c r="D6" s="3">
        <v>3.7037037037037035E-4</v>
      </c>
      <c r="E6" s="3">
        <v>1.0648148148148149E-3</v>
      </c>
      <c r="F6" s="3">
        <v>1.0648148148148149E-3</v>
      </c>
      <c r="G6" s="3">
        <v>2.4305555555555556E-3</v>
      </c>
      <c r="H6" s="3">
        <v>2.476851851851852E-3</v>
      </c>
      <c r="I6" s="3">
        <v>2.9398148148148148E-3</v>
      </c>
      <c r="J6" s="3">
        <v>2.476851851851852E-3</v>
      </c>
      <c r="K6" s="3">
        <v>3.1712962962962962E-3</v>
      </c>
      <c r="L6" s="3">
        <v>3.8657407407407408E-3</v>
      </c>
      <c r="M6" s="3">
        <v>4.5601851851851853E-3</v>
      </c>
      <c r="N6" s="3">
        <v>3.1018518518518517E-3</v>
      </c>
      <c r="O6" s="3">
        <v>3.7037037037037038E-3</v>
      </c>
      <c r="P6" s="3">
        <v>0</v>
      </c>
      <c r="Q6" s="3">
        <v>0</v>
      </c>
      <c r="R6" t="s">
        <v>14</v>
      </c>
    </row>
    <row r="7" spans="1:20" x14ac:dyDescent="0.3">
      <c r="A7" s="2">
        <v>31300</v>
      </c>
      <c r="B7" s="7" t="s">
        <v>3</v>
      </c>
      <c r="C7" s="3">
        <v>0</v>
      </c>
      <c r="D7" s="3">
        <v>0</v>
      </c>
      <c r="E7" s="3">
        <v>0</v>
      </c>
      <c r="F7" s="3">
        <v>0</v>
      </c>
      <c r="G7" s="3">
        <v>1.0416666666666667E-3</v>
      </c>
      <c r="H7" s="3">
        <v>1.0185185185185184E-3</v>
      </c>
      <c r="I7" s="3">
        <v>1.4120370370370369E-3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x14ac:dyDescent="0.3">
      <c r="A8" s="2">
        <v>3600</v>
      </c>
      <c r="B8" s="7" t="s">
        <v>16</v>
      </c>
      <c r="C8" s="3">
        <v>4.0740740740740737E-3</v>
      </c>
      <c r="D8" s="3">
        <v>4.2592592592592595E-3</v>
      </c>
      <c r="E8" s="3">
        <v>4.8842592592592592E-3</v>
      </c>
      <c r="F8" s="3">
        <v>5.5787037037037038E-3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6.9444444444444447E-4</v>
      </c>
      <c r="P9" s="25">
        <v>0</v>
      </c>
      <c r="Q9" s="25">
        <v>0</v>
      </c>
      <c r="R9" t="s">
        <v>19</v>
      </c>
    </row>
    <row r="10" spans="1:20" x14ac:dyDescent="0.3">
      <c r="A10" s="4">
        <v>31200</v>
      </c>
      <c r="B10" s="8" t="s">
        <v>18</v>
      </c>
      <c r="C10" s="5">
        <v>2.1990740740740742E-3</v>
      </c>
      <c r="D10" s="5">
        <v>2.8935185185185184E-3</v>
      </c>
      <c r="E10" s="3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x14ac:dyDescent="0.3">
      <c r="A11" s="2">
        <v>31200</v>
      </c>
      <c r="B11" s="7" t="s">
        <v>24</v>
      </c>
      <c r="C11" s="3">
        <v>1.6203703703703703E-4</v>
      </c>
      <c r="D11" s="3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x14ac:dyDescent="0.3">
      <c r="A12" s="2">
        <v>7900</v>
      </c>
      <c r="B12" s="7" t="s">
        <v>16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6.9444444444444444E-5</v>
      </c>
      <c r="M12" s="3">
        <v>7.6388888888888893E-4</v>
      </c>
      <c r="N12" s="3">
        <v>0</v>
      </c>
      <c r="O12" s="3">
        <v>0</v>
      </c>
      <c r="P12" s="3">
        <v>0</v>
      </c>
      <c r="Q12" s="3">
        <v>0</v>
      </c>
    </row>
    <row r="13" spans="1:20" x14ac:dyDescent="0.3">
      <c r="A13" s="9" t="s">
        <v>25</v>
      </c>
      <c r="B13" s="9"/>
      <c r="C13" s="10">
        <f t="shared" ref="C13:Q13" si="0">SUM(C3:C8)</f>
        <v>7.5462962962962957E-3</v>
      </c>
      <c r="D13" s="10">
        <f t="shared" si="0"/>
        <v>9.2592592592592605E-3</v>
      </c>
      <c r="E13" s="10">
        <f t="shared" si="0"/>
        <v>1.3587962962962965E-2</v>
      </c>
      <c r="F13" s="10">
        <f t="shared" si="0"/>
        <v>1.5671296296296294E-2</v>
      </c>
      <c r="G13" s="10">
        <f t="shared" si="0"/>
        <v>2.0347222222222221E-2</v>
      </c>
      <c r="H13" s="10">
        <f t="shared" si="0"/>
        <v>2.0416666666666666E-2</v>
      </c>
      <c r="I13" s="10">
        <f t="shared" si="0"/>
        <v>2.1736111111111112E-2</v>
      </c>
      <c r="J13" s="10">
        <f t="shared" si="0"/>
        <v>7.1527777777777787E-3</v>
      </c>
      <c r="K13" s="10">
        <f t="shared" si="0"/>
        <v>7.8472222222222224E-3</v>
      </c>
      <c r="L13" s="10">
        <f t="shared" si="0"/>
        <v>1.0925925925925926E-2</v>
      </c>
      <c r="M13" s="10">
        <f t="shared" si="0"/>
        <v>1.1620370370370371E-2</v>
      </c>
      <c r="N13" s="10">
        <f t="shared" si="0"/>
        <v>1.0162037037037037E-2</v>
      </c>
      <c r="O13" s="10">
        <f t="shared" si="0"/>
        <v>1.0763888888888889E-2</v>
      </c>
      <c r="P13" s="10">
        <f t="shared" si="0"/>
        <v>8.425925925925927E-3</v>
      </c>
      <c r="Q13" s="10">
        <f t="shared" si="0"/>
        <v>3.8657407407407403E-3</v>
      </c>
    </row>
    <row r="15" spans="1:20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Q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" x14ac:dyDescent="0.3">
      <c r="A16" s="2">
        <v>1700</v>
      </c>
      <c r="B16" s="2" t="s">
        <v>6</v>
      </c>
      <c r="C16" t="b">
        <f t="shared" ref="C16:E21" si="3">C3&lt;3/1440</f>
        <v>1</v>
      </c>
      <c r="D16" t="b">
        <f t="shared" si="3"/>
        <v>1</v>
      </c>
      <c r="E16" t="b">
        <f t="shared" si="3"/>
        <v>0</v>
      </c>
      <c r="F16" t="b">
        <f t="shared" ref="F16:Q21" si="4">F3&lt;3/1440</f>
        <v>0</v>
      </c>
      <c r="G16" t="b">
        <f t="shared" si="4"/>
        <v>0</v>
      </c>
      <c r="H16" t="b">
        <f t="shared" si="4"/>
        <v>0</v>
      </c>
      <c r="I16" t="b">
        <f t="shared" si="4"/>
        <v>0</v>
      </c>
      <c r="J16" t="b">
        <f t="shared" si="4"/>
        <v>0</v>
      </c>
      <c r="K16" t="b">
        <f t="shared" si="4"/>
        <v>0</v>
      </c>
      <c r="L16" t="b">
        <f t="shared" si="4"/>
        <v>0</v>
      </c>
      <c r="M16" t="b">
        <f t="shared" si="4"/>
        <v>0</v>
      </c>
      <c r="N16" t="b">
        <f t="shared" si="4"/>
        <v>0</v>
      </c>
      <c r="O16" t="b">
        <f t="shared" si="4"/>
        <v>0</v>
      </c>
      <c r="P16" t="b">
        <f t="shared" si="4"/>
        <v>0</v>
      </c>
      <c r="Q16" t="b">
        <f t="shared" si="4"/>
        <v>1</v>
      </c>
    </row>
    <row r="17" spans="1:18" x14ac:dyDescent="0.3">
      <c r="A17" s="2">
        <v>7000</v>
      </c>
      <c r="B17" s="2" t="s">
        <v>9</v>
      </c>
      <c r="C17" t="b">
        <f t="shared" si="3"/>
        <v>1</v>
      </c>
      <c r="D17" t="b">
        <f t="shared" si="3"/>
        <v>1</v>
      </c>
      <c r="E17" t="b">
        <f t="shared" si="3"/>
        <v>0</v>
      </c>
      <c r="F17" t="b">
        <f t="shared" si="4"/>
        <v>0</v>
      </c>
      <c r="G17" t="b">
        <f t="shared" si="4"/>
        <v>0</v>
      </c>
      <c r="H17" t="b">
        <f t="shared" si="4"/>
        <v>0</v>
      </c>
      <c r="I17" t="b">
        <f t="shared" si="4"/>
        <v>0</v>
      </c>
      <c r="J17" t="b">
        <f t="shared" si="4"/>
        <v>1</v>
      </c>
      <c r="K17" t="b">
        <f t="shared" si="4"/>
        <v>1</v>
      </c>
      <c r="L17" t="b">
        <f t="shared" si="4"/>
        <v>1</v>
      </c>
      <c r="M17" t="b">
        <f t="shared" si="4"/>
        <v>1</v>
      </c>
      <c r="N17" t="b">
        <f t="shared" si="4"/>
        <v>1</v>
      </c>
      <c r="O17" t="b">
        <f t="shared" si="4"/>
        <v>1</v>
      </c>
      <c r="P17" t="b">
        <f t="shared" si="4"/>
        <v>1</v>
      </c>
      <c r="Q17" t="b">
        <f t="shared" si="4"/>
        <v>1</v>
      </c>
    </row>
    <row r="18" spans="1:18" x14ac:dyDescent="0.3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0</v>
      </c>
      <c r="F18" t="b">
        <f t="shared" si="4"/>
        <v>0</v>
      </c>
      <c r="G18" t="b">
        <f t="shared" si="4"/>
        <v>1</v>
      </c>
      <c r="H18" t="b">
        <f t="shared" si="4"/>
        <v>1</v>
      </c>
      <c r="I18" t="b">
        <f t="shared" si="4"/>
        <v>1</v>
      </c>
      <c r="J18" t="b">
        <f t="shared" si="4"/>
        <v>1</v>
      </c>
      <c r="K18" t="b">
        <f t="shared" si="4"/>
        <v>1</v>
      </c>
      <c r="L18" t="b">
        <f t="shared" si="4"/>
        <v>1</v>
      </c>
      <c r="M18" t="b">
        <f t="shared" si="4"/>
        <v>1</v>
      </c>
      <c r="N18" t="b">
        <f t="shared" si="4"/>
        <v>1</v>
      </c>
      <c r="O18" t="b">
        <f t="shared" si="4"/>
        <v>1</v>
      </c>
      <c r="P18" t="b">
        <f t="shared" si="4"/>
        <v>1</v>
      </c>
      <c r="Q18" t="b">
        <f t="shared" si="4"/>
        <v>1</v>
      </c>
    </row>
    <row r="19" spans="1:18" x14ac:dyDescent="0.3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si="4"/>
        <v>1</v>
      </c>
      <c r="G19" t="b">
        <f t="shared" si="4"/>
        <v>0</v>
      </c>
      <c r="H19" t="b">
        <f t="shared" si="4"/>
        <v>0</v>
      </c>
      <c r="I19" t="b">
        <f t="shared" si="4"/>
        <v>0</v>
      </c>
      <c r="J19" t="b">
        <f t="shared" si="4"/>
        <v>0</v>
      </c>
      <c r="K19" t="b">
        <f t="shared" si="4"/>
        <v>0</v>
      </c>
      <c r="L19" t="b">
        <f t="shared" si="4"/>
        <v>0</v>
      </c>
      <c r="M19" t="b">
        <f t="shared" si="4"/>
        <v>0</v>
      </c>
      <c r="N19" t="b">
        <f t="shared" si="4"/>
        <v>0</v>
      </c>
      <c r="O19" t="b">
        <f t="shared" si="4"/>
        <v>0</v>
      </c>
      <c r="P19" t="b">
        <f t="shared" si="4"/>
        <v>1</v>
      </c>
      <c r="Q19" t="b">
        <f t="shared" si="4"/>
        <v>1</v>
      </c>
    </row>
    <row r="20" spans="1:18" x14ac:dyDescent="0.3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si="4"/>
        <v>1</v>
      </c>
      <c r="G20" t="b">
        <f t="shared" si="4"/>
        <v>1</v>
      </c>
      <c r="H20" t="b">
        <f t="shared" si="4"/>
        <v>1</v>
      </c>
      <c r="I20" t="b">
        <f t="shared" si="4"/>
        <v>1</v>
      </c>
      <c r="J20" t="b">
        <f t="shared" si="4"/>
        <v>1</v>
      </c>
      <c r="K20" t="b">
        <f t="shared" si="4"/>
        <v>1</v>
      </c>
      <c r="L20" t="b">
        <f t="shared" si="4"/>
        <v>1</v>
      </c>
      <c r="M20" t="b">
        <f t="shared" si="4"/>
        <v>1</v>
      </c>
      <c r="N20" t="b">
        <f t="shared" si="4"/>
        <v>1</v>
      </c>
      <c r="O20" t="b">
        <f t="shared" si="4"/>
        <v>1</v>
      </c>
      <c r="P20" t="b">
        <f t="shared" si="4"/>
        <v>1</v>
      </c>
      <c r="Q20" t="b">
        <f t="shared" si="4"/>
        <v>1</v>
      </c>
    </row>
    <row r="21" spans="1:18" x14ac:dyDescent="0.3">
      <c r="A21" s="2">
        <v>3600</v>
      </c>
      <c r="B21" s="2" t="s">
        <v>16</v>
      </c>
      <c r="C21" t="b">
        <f t="shared" si="3"/>
        <v>0</v>
      </c>
      <c r="D21" t="b">
        <f t="shared" si="3"/>
        <v>0</v>
      </c>
      <c r="E21" t="b">
        <f t="shared" si="3"/>
        <v>0</v>
      </c>
      <c r="F21" t="b">
        <f t="shared" si="4"/>
        <v>0</v>
      </c>
      <c r="G21" t="b">
        <f t="shared" si="4"/>
        <v>1</v>
      </c>
      <c r="H21" t="b">
        <f t="shared" si="4"/>
        <v>1</v>
      </c>
      <c r="I21" t="b">
        <f t="shared" si="4"/>
        <v>1</v>
      </c>
      <c r="J21" t="b">
        <f t="shared" si="4"/>
        <v>1</v>
      </c>
      <c r="K21" t="b">
        <f t="shared" si="4"/>
        <v>1</v>
      </c>
      <c r="L21" t="b">
        <f t="shared" si="4"/>
        <v>1</v>
      </c>
      <c r="M21" t="b">
        <f t="shared" si="4"/>
        <v>1</v>
      </c>
      <c r="N21" t="b">
        <f t="shared" si="4"/>
        <v>1</v>
      </c>
      <c r="O21" t="b">
        <f t="shared" si="4"/>
        <v>1</v>
      </c>
      <c r="P21" t="b">
        <f t="shared" si="4"/>
        <v>1</v>
      </c>
      <c r="Q21" t="b">
        <f t="shared" si="4"/>
        <v>1</v>
      </c>
    </row>
    <row r="22" spans="1:18" x14ac:dyDescent="0.3">
      <c r="A22" s="2">
        <v>20350</v>
      </c>
      <c r="B22" s="2" t="s">
        <v>18</v>
      </c>
      <c r="C22" t="b">
        <f t="shared" ref="C22:Q23" si="5">C9&lt;3/1440</f>
        <v>1</v>
      </c>
      <c r="D22" t="b">
        <f t="shared" si="5"/>
        <v>1</v>
      </c>
      <c r="E22" t="b">
        <f t="shared" si="5"/>
        <v>1</v>
      </c>
      <c r="F22" t="b">
        <f t="shared" si="5"/>
        <v>1</v>
      </c>
      <c r="G22" t="b">
        <f t="shared" si="5"/>
        <v>1</v>
      </c>
      <c r="H22" t="b">
        <f t="shared" si="5"/>
        <v>1</v>
      </c>
      <c r="I22" t="b">
        <f t="shared" si="5"/>
        <v>1</v>
      </c>
      <c r="J22" t="b">
        <f t="shared" si="5"/>
        <v>1</v>
      </c>
      <c r="K22" t="b">
        <f t="shared" si="5"/>
        <v>1</v>
      </c>
      <c r="L22" t="b">
        <f t="shared" si="5"/>
        <v>1</v>
      </c>
      <c r="M22" t="b">
        <f t="shared" si="5"/>
        <v>1</v>
      </c>
      <c r="N22" t="b">
        <f t="shared" si="5"/>
        <v>1</v>
      </c>
      <c r="O22" t="b">
        <f t="shared" si="5"/>
        <v>1</v>
      </c>
      <c r="P22" t="b">
        <f t="shared" si="5"/>
        <v>1</v>
      </c>
      <c r="Q22" t="b">
        <f t="shared" si="5"/>
        <v>1</v>
      </c>
    </row>
    <row r="23" spans="1:18" x14ac:dyDescent="0.3">
      <c r="A23" s="2">
        <v>31200</v>
      </c>
      <c r="B23" s="2" t="s">
        <v>18</v>
      </c>
      <c r="C23" t="b">
        <f t="shared" si="5"/>
        <v>0</v>
      </c>
      <c r="D23" t="b">
        <f t="shared" si="5"/>
        <v>0</v>
      </c>
      <c r="E23" t="b">
        <f t="shared" si="5"/>
        <v>0</v>
      </c>
      <c r="F23" t="b">
        <f t="shared" si="5"/>
        <v>0</v>
      </c>
      <c r="G23" t="b">
        <f t="shared" si="5"/>
        <v>1</v>
      </c>
      <c r="H23" t="b">
        <f t="shared" si="5"/>
        <v>1</v>
      </c>
      <c r="I23" t="b">
        <f t="shared" si="5"/>
        <v>1</v>
      </c>
      <c r="J23" t="b">
        <f t="shared" si="5"/>
        <v>1</v>
      </c>
      <c r="K23" t="b">
        <f t="shared" si="5"/>
        <v>1</v>
      </c>
      <c r="L23" t="b">
        <f t="shared" si="5"/>
        <v>1</v>
      </c>
      <c r="M23" t="b">
        <f t="shared" si="5"/>
        <v>1</v>
      </c>
      <c r="N23" t="b">
        <f t="shared" si="5"/>
        <v>1</v>
      </c>
      <c r="O23" t="b">
        <f t="shared" si="5"/>
        <v>1</v>
      </c>
      <c r="P23" t="b">
        <f t="shared" si="5"/>
        <v>1</v>
      </c>
      <c r="Q23" t="b">
        <f t="shared" si="5"/>
        <v>1</v>
      </c>
    </row>
    <row r="24" spans="1:18" x14ac:dyDescent="0.3">
      <c r="A24" s="2">
        <v>31200</v>
      </c>
      <c r="B24" s="2" t="s">
        <v>24</v>
      </c>
      <c r="C24" t="b">
        <f t="shared" ref="C24:Q24" si="6">C11&lt;6/1440</f>
        <v>1</v>
      </c>
      <c r="D24" t="b">
        <f t="shared" si="6"/>
        <v>1</v>
      </c>
      <c r="E24" t="b">
        <f t="shared" si="6"/>
        <v>1</v>
      </c>
      <c r="F24" t="b">
        <f t="shared" si="6"/>
        <v>1</v>
      </c>
      <c r="G24" t="b">
        <f t="shared" si="6"/>
        <v>1</v>
      </c>
      <c r="H24" t="b">
        <f t="shared" si="6"/>
        <v>1</v>
      </c>
      <c r="I24" t="b">
        <f t="shared" si="6"/>
        <v>1</v>
      </c>
      <c r="J24" t="b">
        <f t="shared" si="6"/>
        <v>1</v>
      </c>
      <c r="K24" t="b">
        <f t="shared" si="6"/>
        <v>1</v>
      </c>
      <c r="L24" t="b">
        <f t="shared" si="6"/>
        <v>1</v>
      </c>
      <c r="M24" t="b">
        <f t="shared" si="6"/>
        <v>1</v>
      </c>
      <c r="N24" t="b">
        <f t="shared" si="6"/>
        <v>1</v>
      </c>
      <c r="O24" t="b">
        <f t="shared" si="6"/>
        <v>1</v>
      </c>
      <c r="P24" t="b">
        <f t="shared" si="6"/>
        <v>1</v>
      </c>
      <c r="Q24" t="b">
        <f t="shared" si="6"/>
        <v>1</v>
      </c>
    </row>
    <row r="25" spans="1:18" x14ac:dyDescent="0.3">
      <c r="A25" s="2">
        <v>7900</v>
      </c>
      <c r="B25" s="2" t="s">
        <v>16</v>
      </c>
      <c r="C25" t="b">
        <f t="shared" ref="C25" si="7">C12&lt;3/1440</f>
        <v>1</v>
      </c>
      <c r="D25" t="b">
        <f t="shared" ref="D25:Q25" si="8">D12&lt;3/1440</f>
        <v>1</v>
      </c>
      <c r="E25" t="b">
        <f t="shared" si="8"/>
        <v>1</v>
      </c>
      <c r="F25" t="b">
        <f t="shared" si="8"/>
        <v>1</v>
      </c>
      <c r="G25" t="b">
        <f t="shared" si="8"/>
        <v>1</v>
      </c>
      <c r="H25" t="b">
        <f t="shared" si="8"/>
        <v>1</v>
      </c>
      <c r="I25" t="b">
        <f t="shared" si="8"/>
        <v>1</v>
      </c>
      <c r="J25" t="b">
        <f t="shared" si="8"/>
        <v>1</v>
      </c>
      <c r="K25" t="b">
        <f t="shared" si="8"/>
        <v>1</v>
      </c>
      <c r="L25" t="b">
        <f t="shared" si="8"/>
        <v>1</v>
      </c>
      <c r="M25" t="b">
        <f t="shared" si="8"/>
        <v>1</v>
      </c>
      <c r="N25" t="b">
        <f t="shared" si="8"/>
        <v>1</v>
      </c>
      <c r="O25" t="b">
        <f t="shared" si="8"/>
        <v>1</v>
      </c>
      <c r="P25" t="b">
        <f t="shared" si="8"/>
        <v>1</v>
      </c>
      <c r="Q25" t="b">
        <f t="shared" si="8"/>
        <v>1</v>
      </c>
    </row>
    <row r="26" spans="1:18" x14ac:dyDescent="0.3">
      <c r="A26" t="s">
        <v>31</v>
      </c>
      <c r="C26" s="12">
        <f>COUNTIF(C16:C21,TRUE) / 6</f>
        <v>0.83333333333333337</v>
      </c>
      <c r="D26" s="12">
        <f t="shared" ref="D26:Q26" si="9">COUNTIF(D16:D21,TRUE) / 6</f>
        <v>0.83333333333333337</v>
      </c>
      <c r="E26" s="12">
        <f t="shared" si="9"/>
        <v>0.33333333333333331</v>
      </c>
      <c r="F26" s="12">
        <f t="shared" si="9"/>
        <v>0.33333333333333331</v>
      </c>
      <c r="G26" s="12">
        <f t="shared" si="9"/>
        <v>0.5</v>
      </c>
      <c r="H26" s="12">
        <f t="shared" si="9"/>
        <v>0.5</v>
      </c>
      <c r="I26" s="12">
        <f t="shared" si="9"/>
        <v>0.5</v>
      </c>
      <c r="J26" s="12">
        <f t="shared" si="9"/>
        <v>0.66666666666666663</v>
      </c>
      <c r="K26" s="12">
        <f t="shared" si="9"/>
        <v>0.66666666666666663</v>
      </c>
      <c r="L26" s="12">
        <f t="shared" si="9"/>
        <v>0.66666666666666663</v>
      </c>
      <c r="M26" s="12">
        <f t="shared" si="9"/>
        <v>0.66666666666666663</v>
      </c>
      <c r="N26" s="12">
        <f t="shared" si="9"/>
        <v>0.66666666666666663</v>
      </c>
      <c r="O26" s="12">
        <f t="shared" si="9"/>
        <v>0.66666666666666663</v>
      </c>
      <c r="P26" s="12">
        <f t="shared" si="9"/>
        <v>0.83333333333333337</v>
      </c>
      <c r="Q26" s="12">
        <f t="shared" si="9"/>
        <v>1</v>
      </c>
    </row>
    <row r="28" spans="1:18" x14ac:dyDescent="0.3">
      <c r="A28" t="s">
        <v>33</v>
      </c>
      <c r="C28" s="3">
        <f t="shared" ref="C28:Q28" si="10">C2-C1</f>
        <v>-2.0833333333333333E-3</v>
      </c>
      <c r="D28" s="3">
        <f t="shared" si="10"/>
        <v>-2.7777777777777779E-3</v>
      </c>
      <c r="E28" s="3">
        <f t="shared" si="10"/>
        <v>-3.472222222222222E-3</v>
      </c>
      <c r="F28" s="3">
        <f t="shared" si="10"/>
        <v>-3.7962962962962963E-3</v>
      </c>
      <c r="G28" s="3">
        <f t="shared" si="10"/>
        <v>-2.777777777777777E-3</v>
      </c>
      <c r="H28" s="3">
        <f t="shared" si="10"/>
        <v>-3.4953703703703644E-3</v>
      </c>
      <c r="I28" s="3">
        <f t="shared" si="10"/>
        <v>-3.7962962962962967E-3</v>
      </c>
      <c r="J28" s="3">
        <f t="shared" si="10"/>
        <v>2.7546296296296338E-3</v>
      </c>
      <c r="K28" s="3">
        <f t="shared" si="10"/>
        <v>2.0601851851851831E-3</v>
      </c>
      <c r="L28" s="3">
        <f t="shared" si="10"/>
        <v>1.3657407407407438E-3</v>
      </c>
      <c r="M28" s="3">
        <f t="shared" si="10"/>
        <v>6.712962962962931E-4</v>
      </c>
      <c r="N28" s="3">
        <f t="shared" si="10"/>
        <v>-2.3148148148147141E-5</v>
      </c>
      <c r="O28" s="3">
        <f t="shared" si="10"/>
        <v>-7.1759259259262728E-4</v>
      </c>
      <c r="P28" s="3">
        <f t="shared" si="10"/>
        <v>-2.5694444444444436E-3</v>
      </c>
      <c r="Q28" s="3">
        <f t="shared" si="10"/>
        <v>2.3148148148148182E-4</v>
      </c>
      <c r="R28" t="s">
        <v>61</v>
      </c>
    </row>
    <row r="29" spans="1:18" x14ac:dyDescent="0.3">
      <c r="A29" t="s">
        <v>33</v>
      </c>
      <c r="C29" s="3">
        <f t="shared" ref="C29:Q29" si="11">C1-C2</f>
        <v>2.0833333333333333E-3</v>
      </c>
      <c r="D29" s="3">
        <f t="shared" si="11"/>
        <v>2.7777777777777779E-3</v>
      </c>
      <c r="E29" s="3">
        <f t="shared" si="11"/>
        <v>3.472222222222222E-3</v>
      </c>
      <c r="F29" s="3">
        <f t="shared" si="11"/>
        <v>3.7962962962962963E-3</v>
      </c>
      <c r="G29" s="3">
        <f t="shared" si="11"/>
        <v>2.777777777777777E-3</v>
      </c>
      <c r="H29" s="3">
        <f t="shared" si="11"/>
        <v>3.4953703703703644E-3</v>
      </c>
      <c r="I29" s="3">
        <f t="shared" si="11"/>
        <v>3.7962962962962967E-3</v>
      </c>
      <c r="J29" s="3">
        <f t="shared" si="11"/>
        <v>-2.7546296296296338E-3</v>
      </c>
      <c r="K29" s="3">
        <f t="shared" si="11"/>
        <v>-2.0601851851851831E-3</v>
      </c>
      <c r="L29" s="3">
        <f t="shared" si="11"/>
        <v>-1.3657407407407438E-3</v>
      </c>
      <c r="M29" s="3">
        <f t="shared" si="11"/>
        <v>-6.712962962962931E-4</v>
      </c>
      <c r="N29" s="3">
        <f t="shared" si="11"/>
        <v>2.3148148148147141E-5</v>
      </c>
      <c r="O29" s="3">
        <f t="shared" si="11"/>
        <v>7.1759259259262728E-4</v>
      </c>
      <c r="P29" s="3">
        <f t="shared" si="11"/>
        <v>2.5694444444444436E-3</v>
      </c>
      <c r="Q29" s="3">
        <f t="shared" si="11"/>
        <v>-2.3148148148148182E-4</v>
      </c>
      <c r="R29" t="s">
        <v>62</v>
      </c>
    </row>
    <row r="31" spans="1:18" x14ac:dyDescent="0.3">
      <c r="A31" t="s">
        <v>38</v>
      </c>
      <c r="C31" s="12">
        <f>C40</f>
        <v>0.82051282051282048</v>
      </c>
      <c r="D31" s="12">
        <f t="shared" ref="D31:Q31" si="12">D40</f>
        <v>0.82051282051282048</v>
      </c>
      <c r="E31" s="12">
        <f t="shared" si="12"/>
        <v>0.79487179487179493</v>
      </c>
      <c r="F31" s="12">
        <f t="shared" si="12"/>
        <v>0.74358974358974361</v>
      </c>
      <c r="G31" s="12">
        <f t="shared" si="12"/>
        <v>0.97435897435897434</v>
      </c>
      <c r="H31" s="12">
        <f t="shared" si="12"/>
        <v>0.97435897435897434</v>
      </c>
      <c r="I31" s="12">
        <f t="shared" si="12"/>
        <v>0.92307692307692313</v>
      </c>
      <c r="J31" s="12">
        <f t="shared" si="12"/>
        <v>0.97435897435897434</v>
      </c>
      <c r="K31" s="12">
        <f t="shared" si="12"/>
        <v>0.97435897435897434</v>
      </c>
      <c r="L31" s="12">
        <f t="shared" si="12"/>
        <v>0.97435897435897434</v>
      </c>
      <c r="M31" s="12">
        <f t="shared" si="12"/>
        <v>0.97435897435897434</v>
      </c>
      <c r="N31" s="12">
        <f t="shared" si="12"/>
        <v>0.97435897435897434</v>
      </c>
      <c r="O31" s="12">
        <f t="shared" si="12"/>
        <v>0.97435897435897434</v>
      </c>
      <c r="P31" s="12">
        <f t="shared" si="12"/>
        <v>0.97435897435897434</v>
      </c>
      <c r="Q31" s="12">
        <f t="shared" si="12"/>
        <v>0.97435897435897434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2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2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5</v>
      </c>
      <c r="D38">
        <v>5</v>
      </c>
      <c r="E38">
        <v>6</v>
      </c>
      <c r="F38">
        <v>8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0.82051282051282048</v>
      </c>
      <c r="D40" s="12">
        <f t="shared" ref="D40:Q40" si="13">1-SUM(D34:D39)/39</f>
        <v>0.82051282051282048</v>
      </c>
      <c r="E40" s="12">
        <f t="shared" si="13"/>
        <v>0.79487179487179493</v>
      </c>
      <c r="F40" s="12">
        <f t="shared" si="13"/>
        <v>0.74358974358974361</v>
      </c>
      <c r="G40" s="12">
        <f t="shared" si="13"/>
        <v>0.97435897435897434</v>
      </c>
      <c r="H40" s="12">
        <f t="shared" si="13"/>
        <v>0.97435897435897434</v>
      </c>
      <c r="I40" s="12">
        <f t="shared" si="13"/>
        <v>0.92307692307692313</v>
      </c>
      <c r="J40" s="12">
        <f t="shared" si="13"/>
        <v>0.97435897435897434</v>
      </c>
      <c r="K40" s="12">
        <f t="shared" si="13"/>
        <v>0.97435897435897434</v>
      </c>
      <c r="L40" s="12">
        <f t="shared" si="13"/>
        <v>0.97435897435897434</v>
      </c>
      <c r="M40" s="12">
        <f t="shared" si="13"/>
        <v>0.97435897435897434</v>
      </c>
      <c r="N40" s="12">
        <f t="shared" si="13"/>
        <v>0.97435897435897434</v>
      </c>
      <c r="O40" s="12">
        <f t="shared" si="13"/>
        <v>0.97435897435897434</v>
      </c>
      <c r="P40" s="12">
        <f t="shared" si="13"/>
        <v>0.97435897435897434</v>
      </c>
      <c r="Q40" s="12">
        <f t="shared" si="13"/>
        <v>0.97435897435897434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4BD-6815-4057-952C-AC9780BC4012}">
  <dimension ref="A1:T40"/>
  <sheetViews>
    <sheetView workbookViewId="0">
      <selection activeCell="E2" sqref="E2"/>
    </sheetView>
  </sheetViews>
  <sheetFormatPr defaultRowHeight="14.4" x14ac:dyDescent="0.3"/>
  <cols>
    <col min="1" max="2" width="10.6640625" customWidth="1"/>
    <col min="3" max="3" width="11.88671875" customWidth="1"/>
    <col min="4" max="17" width="10.6640625" customWidth="1"/>
  </cols>
  <sheetData>
    <row r="1" spans="1:20" x14ac:dyDescent="0.3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x14ac:dyDescent="0.3">
      <c r="A2" s="20" t="s">
        <v>2</v>
      </c>
      <c r="B2" s="21" t="s">
        <v>3</v>
      </c>
      <c r="C2" s="24">
        <v>0</v>
      </c>
      <c r="D2" s="24">
        <v>0</v>
      </c>
      <c r="E2" s="22">
        <v>4.6296296296296298E-4</v>
      </c>
      <c r="F2" s="22">
        <v>9.6990740740740735E-3</v>
      </c>
      <c r="G2" s="22">
        <v>9.6990740740740735E-3</v>
      </c>
      <c r="H2" s="22">
        <v>9.6990740740740735E-3</v>
      </c>
      <c r="I2" s="22">
        <v>9.6990740740740735E-3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9.5370370370370366E-3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x14ac:dyDescent="0.3">
      <c r="A3" s="2">
        <v>1700</v>
      </c>
      <c r="B3" s="7" t="s">
        <v>6</v>
      </c>
      <c r="C3" s="25">
        <v>8.564814814814815E-4</v>
      </c>
      <c r="D3" s="25">
        <v>1.5740740740740741E-3</v>
      </c>
      <c r="E3" s="3">
        <v>2.2685185185185187E-3</v>
      </c>
      <c r="F3" s="3">
        <v>6.1111111111111114E-3</v>
      </c>
      <c r="G3" s="3">
        <v>6.1111111111111114E-3</v>
      </c>
      <c r="H3" s="3">
        <v>6.1111111111111114E-3</v>
      </c>
      <c r="I3" s="29">
        <v>3.7268518518518519E-3</v>
      </c>
      <c r="J3" s="3">
        <v>6.1111111111111114E-3</v>
      </c>
      <c r="K3" s="3">
        <v>6.1111111111111114E-3</v>
      </c>
      <c r="L3" s="3">
        <v>6.1111111111111114E-3</v>
      </c>
      <c r="M3" s="3">
        <v>6.1111111111111114E-3</v>
      </c>
      <c r="N3" s="3">
        <v>6.1111111111111114E-3</v>
      </c>
      <c r="O3" s="3">
        <v>1.136574074074074E-2</v>
      </c>
      <c r="P3" s="3">
        <v>1.5509259259259259E-3</v>
      </c>
      <c r="Q3" s="3">
        <v>1.5509259259259259E-3</v>
      </c>
      <c r="R3" t="s">
        <v>7</v>
      </c>
    </row>
    <row r="4" spans="1:20" x14ac:dyDescent="0.3">
      <c r="A4" s="2">
        <v>7000</v>
      </c>
      <c r="B4" s="7" t="s">
        <v>9</v>
      </c>
      <c r="C4" s="25">
        <v>6.9444444444444447E-4</v>
      </c>
      <c r="D4" s="25">
        <v>1.3888888888888889E-3</v>
      </c>
      <c r="E4" s="3">
        <v>2.0833333333333333E-3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x14ac:dyDescent="0.3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x14ac:dyDescent="0.3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1.6203703703703703E-3</v>
      </c>
      <c r="G6" s="3">
        <v>1.6203703703703703E-3</v>
      </c>
      <c r="H6" s="3">
        <v>1.6203703703703703E-3</v>
      </c>
      <c r="I6" s="3">
        <v>1.6203703703703703E-3</v>
      </c>
      <c r="J6" s="3">
        <v>1.5972222222222223E-3</v>
      </c>
      <c r="K6" s="3">
        <v>1.6203703703703703E-3</v>
      </c>
      <c r="L6" s="3">
        <v>2.4305555555555556E-3</v>
      </c>
      <c r="M6" s="3">
        <v>3.1250000000000002E-3</v>
      </c>
      <c r="N6" s="3">
        <v>3.8194444444444443E-3</v>
      </c>
      <c r="O6" s="3">
        <v>0</v>
      </c>
      <c r="P6" s="3">
        <v>0</v>
      </c>
      <c r="Q6" s="3">
        <v>0</v>
      </c>
      <c r="R6" t="s">
        <v>14</v>
      </c>
    </row>
    <row r="7" spans="1:20" x14ac:dyDescent="0.3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x14ac:dyDescent="0.3">
      <c r="A8" s="2">
        <v>3600</v>
      </c>
      <c r="B8" s="7" t="s">
        <v>16</v>
      </c>
      <c r="C8" s="25">
        <v>2.3379629629629631E-3</v>
      </c>
      <c r="D8" s="25">
        <v>3.9814814814814817E-3</v>
      </c>
      <c r="E8" s="3">
        <v>4.6759259259259263E-3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 x14ac:dyDescent="0.3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2">
        <v>2.3148148148148147E-5</v>
      </c>
      <c r="O9" s="22">
        <v>7.407407407407407E-4</v>
      </c>
      <c r="P9" s="22">
        <v>4.0972222222222226E-3</v>
      </c>
      <c r="Q9" s="22">
        <v>0</v>
      </c>
      <c r="R9" t="s">
        <v>19</v>
      </c>
    </row>
    <row r="10" spans="1:20" x14ac:dyDescent="0.3">
      <c r="A10" s="4">
        <v>31200</v>
      </c>
      <c r="B10" s="8" t="s">
        <v>18</v>
      </c>
      <c r="C10" s="28">
        <v>2.1990740740740742E-3</v>
      </c>
      <c r="D10" s="28">
        <v>2.8935185185185184E-3</v>
      </c>
      <c r="E10" s="5">
        <v>3.5879629629629629E-3</v>
      </c>
      <c r="F10" s="5">
        <v>1.1574074074074075E-4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x14ac:dyDescent="0.3">
      <c r="A11" s="2">
        <v>31200</v>
      </c>
      <c r="B11" s="7" t="s">
        <v>24</v>
      </c>
      <c r="C11" s="25">
        <v>1.6203703703703703E-4</v>
      </c>
      <c r="D11" s="25">
        <v>2.7777777777777778E-4</v>
      </c>
      <c r="E11" s="3">
        <v>1.8749999999999999E-3</v>
      </c>
      <c r="F11" s="3">
        <v>1.6203703703703703E-4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x14ac:dyDescent="0.3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 x14ac:dyDescent="0.3">
      <c r="A13" s="9" t="s">
        <v>25</v>
      </c>
      <c r="B13" s="9"/>
      <c r="C13" s="10">
        <f t="shared" ref="C13:Q13" si="0">SUM(C3:C8)</f>
        <v>4.4444444444444453E-3</v>
      </c>
      <c r="D13" s="10">
        <f t="shared" si="0"/>
        <v>8.5648148148148168E-3</v>
      </c>
      <c r="E13" s="10">
        <f t="shared" si="0"/>
        <v>1.2962962962962964E-2</v>
      </c>
      <c r="F13" s="10">
        <f t="shared" si="0"/>
        <v>8.6805555555555559E-3</v>
      </c>
      <c r="G13" s="10">
        <f t="shared" si="0"/>
        <v>8.6805555555555559E-3</v>
      </c>
      <c r="H13" s="10">
        <f t="shared" si="0"/>
        <v>8.6805555555555559E-3</v>
      </c>
      <c r="I13" s="10">
        <f t="shared" si="0"/>
        <v>6.2962962962962964E-3</v>
      </c>
      <c r="J13" s="10">
        <f t="shared" si="0"/>
        <v>8.6574074074074071E-3</v>
      </c>
      <c r="K13" s="10">
        <f t="shared" si="0"/>
        <v>8.6805555555555559E-3</v>
      </c>
      <c r="L13" s="10">
        <f t="shared" si="0"/>
        <v>9.4907407407407406E-3</v>
      </c>
      <c r="M13" s="10">
        <f t="shared" si="0"/>
        <v>1.0185185185185186E-2</v>
      </c>
      <c r="N13" s="10">
        <f t="shared" si="0"/>
        <v>1.087962962962963E-2</v>
      </c>
      <c r="O13" s="10">
        <f t="shared" si="0"/>
        <v>1.2314814814814815E-2</v>
      </c>
      <c r="P13" s="10">
        <f t="shared" si="0"/>
        <v>3.8657407407407403E-3</v>
      </c>
      <c r="Q13" s="10">
        <f t="shared" si="0"/>
        <v>3.8657407407407403E-3</v>
      </c>
    </row>
    <row r="15" spans="1:20" x14ac:dyDescent="0.3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Q15" si="2">F2&lt;6/1440</f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" x14ac:dyDescent="0.3">
      <c r="A16" s="2">
        <v>1700</v>
      </c>
      <c r="B16" s="2" t="s">
        <v>6</v>
      </c>
      <c r="C16" t="b">
        <f t="shared" ref="C16:Q25" si="3">C3&lt;3/1440</f>
        <v>1</v>
      </c>
      <c r="D16" t="b">
        <f t="shared" si="3"/>
        <v>1</v>
      </c>
      <c r="E16" t="b">
        <f t="shared" si="3"/>
        <v>0</v>
      </c>
      <c r="F16" t="b">
        <f t="shared" si="3"/>
        <v>0</v>
      </c>
      <c r="G16" t="b">
        <f t="shared" si="3"/>
        <v>0</v>
      </c>
      <c r="H16" t="b">
        <f t="shared" si="3"/>
        <v>0</v>
      </c>
      <c r="I16" t="b">
        <f t="shared" si="3"/>
        <v>0</v>
      </c>
      <c r="J16" t="b">
        <f t="shared" si="3"/>
        <v>0</v>
      </c>
      <c r="K16" t="b">
        <f t="shared" si="3"/>
        <v>0</v>
      </c>
      <c r="L16" t="b">
        <f t="shared" si="3"/>
        <v>0</v>
      </c>
      <c r="M16" t="b">
        <f t="shared" si="3"/>
        <v>0</v>
      </c>
      <c r="N16" t="b">
        <f t="shared" si="3"/>
        <v>0</v>
      </c>
      <c r="O16" t="b">
        <f t="shared" si="3"/>
        <v>0</v>
      </c>
      <c r="P16" t="b">
        <f t="shared" si="3"/>
        <v>1</v>
      </c>
      <c r="Q16" t="b">
        <f t="shared" si="3"/>
        <v>1</v>
      </c>
    </row>
    <row r="17" spans="1:18" x14ac:dyDescent="0.3">
      <c r="A17" s="2">
        <v>7000</v>
      </c>
      <c r="B17" s="2" t="s">
        <v>9</v>
      </c>
      <c r="C17" t="b">
        <f t="shared" si="3"/>
        <v>1</v>
      </c>
      <c r="D17" t="b">
        <f t="shared" si="3"/>
        <v>1</v>
      </c>
      <c r="E17" t="b">
        <f t="shared" si="3"/>
        <v>0</v>
      </c>
      <c r="F17" t="b">
        <f t="shared" si="3"/>
        <v>1</v>
      </c>
      <c r="G17" t="b">
        <f t="shared" si="3"/>
        <v>1</v>
      </c>
      <c r="H17" t="b">
        <f t="shared" si="3"/>
        <v>1</v>
      </c>
      <c r="I17" t="b">
        <f t="shared" si="3"/>
        <v>1</v>
      </c>
      <c r="J17" t="b">
        <f t="shared" si="3"/>
        <v>1</v>
      </c>
      <c r="K17" t="b">
        <f t="shared" si="3"/>
        <v>1</v>
      </c>
      <c r="L17" t="b">
        <f t="shared" si="3"/>
        <v>1</v>
      </c>
      <c r="M17" t="b">
        <f t="shared" si="3"/>
        <v>1</v>
      </c>
      <c r="N17" t="b">
        <f t="shared" si="3"/>
        <v>1</v>
      </c>
      <c r="O17" t="b">
        <f t="shared" si="3"/>
        <v>1</v>
      </c>
      <c r="P17" t="b">
        <f t="shared" si="3"/>
        <v>1</v>
      </c>
      <c r="Q17" t="b">
        <f t="shared" si="3"/>
        <v>1</v>
      </c>
    </row>
    <row r="18" spans="1:18" x14ac:dyDescent="0.3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0</v>
      </c>
      <c r="F18" t="b">
        <f t="shared" si="3"/>
        <v>1</v>
      </c>
      <c r="G18" t="b">
        <f t="shared" si="3"/>
        <v>1</v>
      </c>
      <c r="H18" t="b">
        <f t="shared" si="3"/>
        <v>1</v>
      </c>
      <c r="I18" t="b">
        <f t="shared" si="3"/>
        <v>1</v>
      </c>
      <c r="J18" t="b">
        <f t="shared" si="3"/>
        <v>1</v>
      </c>
      <c r="K18" t="b">
        <f t="shared" si="3"/>
        <v>1</v>
      </c>
      <c r="L18" t="b">
        <f t="shared" si="3"/>
        <v>1</v>
      </c>
      <c r="M18" t="b">
        <f t="shared" si="3"/>
        <v>1</v>
      </c>
      <c r="N18" t="b">
        <f t="shared" si="3"/>
        <v>1</v>
      </c>
      <c r="O18" t="b">
        <f t="shared" si="3"/>
        <v>1</v>
      </c>
      <c r="P18" t="b">
        <f t="shared" si="3"/>
        <v>1</v>
      </c>
      <c r="Q18" t="b">
        <f t="shared" si="3"/>
        <v>1</v>
      </c>
    </row>
    <row r="19" spans="1:18" x14ac:dyDescent="0.3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si="3"/>
        <v>1</v>
      </c>
      <c r="G19" t="b">
        <f t="shared" si="3"/>
        <v>1</v>
      </c>
      <c r="H19" t="b">
        <f t="shared" si="3"/>
        <v>1</v>
      </c>
      <c r="I19" t="b">
        <f t="shared" si="3"/>
        <v>1</v>
      </c>
      <c r="J19" t="b">
        <f t="shared" si="3"/>
        <v>1</v>
      </c>
      <c r="K19" t="b">
        <f t="shared" si="3"/>
        <v>1</v>
      </c>
      <c r="L19" t="b">
        <f t="shared" si="3"/>
        <v>0</v>
      </c>
      <c r="M19" t="b">
        <f t="shared" si="3"/>
        <v>0</v>
      </c>
      <c r="N19" t="b">
        <f t="shared" si="3"/>
        <v>0</v>
      </c>
      <c r="O19" t="b">
        <f t="shared" si="3"/>
        <v>1</v>
      </c>
      <c r="P19" t="b">
        <f t="shared" si="3"/>
        <v>1</v>
      </c>
      <c r="Q19" t="b">
        <f t="shared" si="3"/>
        <v>1</v>
      </c>
    </row>
    <row r="20" spans="1:18" x14ac:dyDescent="0.3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si="3"/>
        <v>1</v>
      </c>
      <c r="G20" t="b">
        <f t="shared" si="3"/>
        <v>1</v>
      </c>
      <c r="H20" t="b">
        <f t="shared" si="3"/>
        <v>1</v>
      </c>
      <c r="I20" t="b">
        <f t="shared" si="3"/>
        <v>1</v>
      </c>
      <c r="J20" t="b">
        <f t="shared" si="3"/>
        <v>1</v>
      </c>
      <c r="K20" t="b">
        <f t="shared" si="3"/>
        <v>1</v>
      </c>
      <c r="L20" t="b">
        <f t="shared" si="3"/>
        <v>1</v>
      </c>
      <c r="M20" t="b">
        <f t="shared" si="3"/>
        <v>1</v>
      </c>
      <c r="N20" t="b">
        <f t="shared" si="3"/>
        <v>1</v>
      </c>
      <c r="O20" t="b">
        <f t="shared" si="3"/>
        <v>1</v>
      </c>
      <c r="P20" t="b">
        <f t="shared" si="3"/>
        <v>1</v>
      </c>
      <c r="Q20" t="b">
        <f t="shared" si="3"/>
        <v>1</v>
      </c>
    </row>
    <row r="21" spans="1:18" x14ac:dyDescent="0.3">
      <c r="A21" s="2">
        <v>3600</v>
      </c>
      <c r="B21" s="2" t="s">
        <v>16</v>
      </c>
      <c r="C21" t="b">
        <f t="shared" si="3"/>
        <v>0</v>
      </c>
      <c r="D21" t="b">
        <f t="shared" si="3"/>
        <v>0</v>
      </c>
      <c r="E21" t="b">
        <f t="shared" si="3"/>
        <v>0</v>
      </c>
      <c r="F21" t="b">
        <f t="shared" si="3"/>
        <v>1</v>
      </c>
      <c r="G21" t="b">
        <f t="shared" si="3"/>
        <v>1</v>
      </c>
      <c r="H21" t="b">
        <f t="shared" si="3"/>
        <v>1</v>
      </c>
      <c r="I21" t="b">
        <f t="shared" si="3"/>
        <v>1</v>
      </c>
      <c r="J21" t="b">
        <f t="shared" si="3"/>
        <v>1</v>
      </c>
      <c r="K21" t="b">
        <f t="shared" si="3"/>
        <v>1</v>
      </c>
      <c r="L21" t="b">
        <f t="shared" si="3"/>
        <v>1</v>
      </c>
      <c r="M21" t="b">
        <f t="shared" si="3"/>
        <v>1</v>
      </c>
      <c r="N21" t="b">
        <f t="shared" si="3"/>
        <v>1</v>
      </c>
      <c r="O21" t="b">
        <f t="shared" si="3"/>
        <v>1</v>
      </c>
      <c r="P21" t="b">
        <f t="shared" si="3"/>
        <v>1</v>
      </c>
      <c r="Q21" t="b">
        <f t="shared" si="3"/>
        <v>1</v>
      </c>
    </row>
    <row r="22" spans="1:18" x14ac:dyDescent="0.3">
      <c r="A22" s="2">
        <v>20350</v>
      </c>
      <c r="B22" s="2" t="s">
        <v>18</v>
      </c>
      <c r="C22" t="b">
        <f t="shared" si="3"/>
        <v>1</v>
      </c>
      <c r="D22" t="b">
        <f t="shared" si="3"/>
        <v>1</v>
      </c>
      <c r="E22" t="b">
        <f t="shared" si="3"/>
        <v>1</v>
      </c>
      <c r="F22" t="b">
        <f t="shared" si="3"/>
        <v>1</v>
      </c>
      <c r="G22" t="b">
        <f t="shared" si="3"/>
        <v>1</v>
      </c>
      <c r="H22" t="b">
        <f t="shared" si="3"/>
        <v>1</v>
      </c>
      <c r="I22" t="b">
        <f t="shared" si="3"/>
        <v>1</v>
      </c>
      <c r="J22" t="b">
        <f t="shared" si="3"/>
        <v>1</v>
      </c>
      <c r="K22" t="b">
        <f t="shared" si="3"/>
        <v>1</v>
      </c>
      <c r="L22" t="b">
        <f t="shared" si="3"/>
        <v>1</v>
      </c>
      <c r="M22" t="b">
        <f t="shared" si="3"/>
        <v>1</v>
      </c>
      <c r="N22" t="b">
        <f t="shared" si="3"/>
        <v>1</v>
      </c>
      <c r="O22" t="b">
        <f t="shared" si="3"/>
        <v>1</v>
      </c>
      <c r="P22" t="b">
        <f t="shared" si="3"/>
        <v>0</v>
      </c>
      <c r="Q22" t="b">
        <f t="shared" si="3"/>
        <v>1</v>
      </c>
    </row>
    <row r="23" spans="1:18" x14ac:dyDescent="0.3">
      <c r="A23" s="2">
        <v>31200</v>
      </c>
      <c r="B23" s="2" t="s">
        <v>18</v>
      </c>
      <c r="C23" t="b">
        <f t="shared" si="3"/>
        <v>0</v>
      </c>
      <c r="D23" t="b">
        <f t="shared" si="3"/>
        <v>0</v>
      </c>
      <c r="E23" t="b">
        <f t="shared" si="3"/>
        <v>0</v>
      </c>
      <c r="F23" t="b">
        <f t="shared" si="3"/>
        <v>1</v>
      </c>
      <c r="G23" t="b">
        <f t="shared" si="3"/>
        <v>1</v>
      </c>
      <c r="H23" t="b">
        <f t="shared" si="3"/>
        <v>1</v>
      </c>
      <c r="I23" t="b">
        <f t="shared" si="3"/>
        <v>1</v>
      </c>
      <c r="J23" t="b">
        <f t="shared" si="3"/>
        <v>1</v>
      </c>
      <c r="K23" t="b">
        <f t="shared" si="3"/>
        <v>1</v>
      </c>
      <c r="L23" t="b">
        <f t="shared" si="3"/>
        <v>1</v>
      </c>
      <c r="M23" t="b">
        <f t="shared" si="3"/>
        <v>1</v>
      </c>
      <c r="N23" t="b">
        <f t="shared" si="3"/>
        <v>1</v>
      </c>
      <c r="O23" t="b">
        <f t="shared" si="3"/>
        <v>1</v>
      </c>
      <c r="P23" t="b">
        <f t="shared" si="3"/>
        <v>1</v>
      </c>
      <c r="Q23" t="b">
        <f t="shared" si="3"/>
        <v>1</v>
      </c>
    </row>
    <row r="24" spans="1:18" x14ac:dyDescent="0.3">
      <c r="A24" s="2">
        <v>31200</v>
      </c>
      <c r="B24" s="2" t="s">
        <v>24</v>
      </c>
      <c r="C24" t="b">
        <f>C11&lt;3/1440</f>
        <v>1</v>
      </c>
      <c r="D24" t="b">
        <f t="shared" si="3"/>
        <v>1</v>
      </c>
      <c r="E24" t="b">
        <f t="shared" si="3"/>
        <v>1</v>
      </c>
      <c r="F24" t="b">
        <f t="shared" si="3"/>
        <v>1</v>
      </c>
      <c r="G24" t="b">
        <f t="shared" si="3"/>
        <v>1</v>
      </c>
      <c r="H24" t="b">
        <f t="shared" si="3"/>
        <v>1</v>
      </c>
      <c r="I24" t="b">
        <f t="shared" si="3"/>
        <v>1</v>
      </c>
      <c r="J24" t="b">
        <f t="shared" si="3"/>
        <v>1</v>
      </c>
      <c r="K24" t="b">
        <f t="shared" si="3"/>
        <v>1</v>
      </c>
      <c r="L24" t="b">
        <f t="shared" si="3"/>
        <v>1</v>
      </c>
      <c r="M24" t="b">
        <f t="shared" si="3"/>
        <v>1</v>
      </c>
      <c r="N24" t="b">
        <f t="shared" si="3"/>
        <v>1</v>
      </c>
      <c r="O24" t="b">
        <f t="shared" si="3"/>
        <v>1</v>
      </c>
      <c r="P24" t="b">
        <f t="shared" si="3"/>
        <v>1</v>
      </c>
      <c r="Q24" t="b">
        <f t="shared" si="3"/>
        <v>1</v>
      </c>
    </row>
    <row r="25" spans="1:18" x14ac:dyDescent="0.3">
      <c r="A25" s="2">
        <v>7900</v>
      </c>
      <c r="B25" s="2" t="s">
        <v>16</v>
      </c>
      <c r="C25" t="b">
        <f t="shared" ref="C25:D25" si="4">C12&lt;3/1440</f>
        <v>1</v>
      </c>
      <c r="D25" t="b">
        <f t="shared" si="4"/>
        <v>1</v>
      </c>
      <c r="E25" t="b">
        <f t="shared" si="3"/>
        <v>1</v>
      </c>
      <c r="F25" t="b">
        <f t="shared" si="3"/>
        <v>1</v>
      </c>
      <c r="G25" t="b">
        <f t="shared" si="3"/>
        <v>1</v>
      </c>
      <c r="H25" t="b">
        <f t="shared" si="3"/>
        <v>1</v>
      </c>
      <c r="I25" t="b">
        <f t="shared" si="3"/>
        <v>1</v>
      </c>
      <c r="J25" t="b">
        <f t="shared" si="3"/>
        <v>1</v>
      </c>
      <c r="K25" t="b">
        <f t="shared" si="3"/>
        <v>1</v>
      </c>
      <c r="L25" t="b">
        <f t="shared" si="3"/>
        <v>1</v>
      </c>
      <c r="M25" t="b">
        <f t="shared" si="3"/>
        <v>1</v>
      </c>
      <c r="N25" t="b">
        <f t="shared" si="3"/>
        <v>1</v>
      </c>
      <c r="O25" t="b">
        <f t="shared" si="3"/>
        <v>1</v>
      </c>
      <c r="P25" t="b">
        <f t="shared" si="3"/>
        <v>1</v>
      </c>
      <c r="Q25" t="b">
        <f t="shared" si="3"/>
        <v>1</v>
      </c>
    </row>
    <row r="26" spans="1:18" x14ac:dyDescent="0.3">
      <c r="A26" t="s">
        <v>31</v>
      </c>
      <c r="C26" s="12">
        <f>COUNTIF(C16:C21,TRUE) / 6</f>
        <v>0.83333333333333337</v>
      </c>
      <c r="D26" s="12">
        <f t="shared" ref="D26:Q26" si="5">COUNTIF(D16:D21,TRUE) / 6</f>
        <v>0.83333333333333337</v>
      </c>
      <c r="E26" s="12">
        <f t="shared" si="5"/>
        <v>0.33333333333333331</v>
      </c>
      <c r="F26" s="12">
        <f t="shared" si="5"/>
        <v>0.83333333333333337</v>
      </c>
      <c r="G26" s="12">
        <f t="shared" si="5"/>
        <v>0.83333333333333337</v>
      </c>
      <c r="H26" s="12">
        <f t="shared" si="5"/>
        <v>0.83333333333333337</v>
      </c>
      <c r="I26" s="12">
        <f t="shared" si="5"/>
        <v>0.83333333333333337</v>
      </c>
      <c r="J26" s="12">
        <f t="shared" si="5"/>
        <v>0.83333333333333337</v>
      </c>
      <c r="K26" s="12">
        <f t="shared" si="5"/>
        <v>0.83333333333333337</v>
      </c>
      <c r="L26" s="12">
        <f t="shared" si="5"/>
        <v>0.66666666666666663</v>
      </c>
      <c r="M26" s="12">
        <f t="shared" si="5"/>
        <v>0.66666666666666663</v>
      </c>
      <c r="N26" s="12">
        <f t="shared" si="5"/>
        <v>0.66666666666666663</v>
      </c>
      <c r="O26" s="12">
        <f t="shared" si="5"/>
        <v>0.83333333333333337</v>
      </c>
      <c r="P26" s="12">
        <f t="shared" si="5"/>
        <v>1</v>
      </c>
      <c r="Q26" s="12">
        <f t="shared" si="5"/>
        <v>1</v>
      </c>
    </row>
    <row r="28" spans="1:18" x14ac:dyDescent="0.3">
      <c r="A28" t="s">
        <v>33</v>
      </c>
      <c r="C28" s="3">
        <f t="shared" ref="C28:Q28" si="6">C2-C1</f>
        <v>-2.0833333333333333E-3</v>
      </c>
      <c r="D28" s="3">
        <f t="shared" si="6"/>
        <v>-2.7777777777777779E-3</v>
      </c>
      <c r="E28" s="3">
        <f t="shared" si="6"/>
        <v>-3.0092592592592593E-3</v>
      </c>
      <c r="F28" s="3">
        <f t="shared" si="6"/>
        <v>5.5324074074074069E-3</v>
      </c>
      <c r="G28" s="3">
        <f t="shared" si="6"/>
        <v>4.8379629629629632E-3</v>
      </c>
      <c r="H28" s="3">
        <f t="shared" si="6"/>
        <v>4.1435185185185238E-3</v>
      </c>
      <c r="I28" s="3">
        <f t="shared" si="6"/>
        <v>3.4490740740740732E-3</v>
      </c>
      <c r="J28" s="3">
        <f t="shared" si="6"/>
        <v>2.7546296296296338E-3</v>
      </c>
      <c r="K28" s="3">
        <f t="shared" si="6"/>
        <v>2.0601851851851831E-3</v>
      </c>
      <c r="L28" s="3">
        <f t="shared" si="6"/>
        <v>1.3657407407407438E-3</v>
      </c>
      <c r="M28" s="3">
        <f t="shared" si="6"/>
        <v>6.712962962962931E-4</v>
      </c>
      <c r="N28" s="3">
        <f t="shared" si="6"/>
        <v>-2.3148148148147141E-5</v>
      </c>
      <c r="O28" s="3">
        <f t="shared" si="6"/>
        <v>-8.7962962962966421E-4</v>
      </c>
      <c r="P28" s="3">
        <f t="shared" si="6"/>
        <v>3.7037037037037056E-3</v>
      </c>
      <c r="Q28" s="3">
        <f t="shared" si="6"/>
        <v>2.3148148148148182E-4</v>
      </c>
      <c r="R28" t="s">
        <v>61</v>
      </c>
    </row>
    <row r="29" spans="1:18" x14ac:dyDescent="0.3">
      <c r="A29" t="s">
        <v>33</v>
      </c>
      <c r="C29" s="3">
        <f t="shared" ref="C29:Q29" si="7">C1-C2</f>
        <v>2.0833333333333333E-3</v>
      </c>
      <c r="D29" s="3">
        <f t="shared" si="7"/>
        <v>2.7777777777777779E-3</v>
      </c>
      <c r="E29" s="3">
        <f t="shared" si="7"/>
        <v>3.0092592592592593E-3</v>
      </c>
      <c r="F29" s="3">
        <f t="shared" si="7"/>
        <v>-5.5324074074074069E-3</v>
      </c>
      <c r="G29" s="3">
        <f t="shared" si="7"/>
        <v>-4.8379629629629632E-3</v>
      </c>
      <c r="H29" s="3">
        <f t="shared" si="7"/>
        <v>-4.1435185185185238E-3</v>
      </c>
      <c r="I29" s="3">
        <f t="shared" si="7"/>
        <v>-3.4490740740740732E-3</v>
      </c>
      <c r="J29" s="3">
        <f t="shared" si="7"/>
        <v>-2.7546296296296338E-3</v>
      </c>
      <c r="K29" s="3">
        <f t="shared" si="7"/>
        <v>-2.0601851851851831E-3</v>
      </c>
      <c r="L29" s="3">
        <f t="shared" si="7"/>
        <v>-1.3657407407407438E-3</v>
      </c>
      <c r="M29" s="3">
        <f t="shared" si="7"/>
        <v>-6.712962962962931E-4</v>
      </c>
      <c r="N29" s="3">
        <f t="shared" si="7"/>
        <v>2.3148148148147141E-5</v>
      </c>
      <c r="O29" s="3">
        <f t="shared" si="7"/>
        <v>8.7962962962966421E-4</v>
      </c>
      <c r="P29" s="3">
        <f t="shared" si="7"/>
        <v>-3.7037037037037056E-3</v>
      </c>
      <c r="Q29" s="3">
        <f t="shared" si="7"/>
        <v>-2.3148148148148182E-4</v>
      </c>
      <c r="R29" t="s">
        <v>62</v>
      </c>
    </row>
    <row r="31" spans="1:18" x14ac:dyDescent="0.3">
      <c r="A31" t="s">
        <v>38</v>
      </c>
      <c r="C31" s="12">
        <f>C40</f>
        <v>0.87179487179487181</v>
      </c>
      <c r="D31" s="12">
        <f t="shared" ref="D31:E31" si="8">D40</f>
        <v>0.82051282051282048</v>
      </c>
      <c r="E31" s="12">
        <f t="shared" si="8"/>
        <v>0.82051282051282048</v>
      </c>
      <c r="F31" s="12">
        <f t="shared" ref="F31:Q31" si="9">F40</f>
        <v>0.97435897435897434</v>
      </c>
      <c r="G31" s="12">
        <f t="shared" si="9"/>
        <v>0.97435897435897434</v>
      </c>
      <c r="H31" s="12">
        <f t="shared" si="9"/>
        <v>0.97435897435897434</v>
      </c>
      <c r="I31" s="12">
        <f t="shared" si="9"/>
        <v>0.97435897435897434</v>
      </c>
      <c r="J31" s="12">
        <f t="shared" si="9"/>
        <v>0.97435897435897434</v>
      </c>
      <c r="K31" s="12">
        <f t="shared" si="9"/>
        <v>0.97435897435897434</v>
      </c>
      <c r="L31" s="12">
        <f t="shared" si="9"/>
        <v>0.97435897435897434</v>
      </c>
      <c r="M31" s="12">
        <f t="shared" si="9"/>
        <v>0.97435897435897434</v>
      </c>
      <c r="N31" s="12">
        <f t="shared" si="9"/>
        <v>0.97435897435897434</v>
      </c>
      <c r="O31" s="12">
        <f t="shared" si="9"/>
        <v>0.97435897435897434</v>
      </c>
      <c r="P31" s="12">
        <f t="shared" si="9"/>
        <v>0.97435897435897434</v>
      </c>
      <c r="Q31" s="12">
        <f t="shared" si="9"/>
        <v>0.97435897435897434</v>
      </c>
    </row>
    <row r="34" spans="1:17" x14ac:dyDescent="0.3">
      <c r="A34">
        <v>31200</v>
      </c>
      <c r="B34" t="s">
        <v>24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3">
      <c r="A35">
        <v>7900</v>
      </c>
      <c r="B35" t="s">
        <v>16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3">
      <c r="A36">
        <v>31300</v>
      </c>
      <c r="B36" t="s">
        <v>3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3">
      <c r="A37">
        <v>31200</v>
      </c>
      <c r="B37" t="s">
        <v>18</v>
      </c>
      <c r="C37">
        <v>2</v>
      </c>
      <c r="D37">
        <v>2</v>
      </c>
      <c r="E37">
        <v>2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3">
      <c r="A38">
        <v>3600</v>
      </c>
      <c r="B38" t="s">
        <v>16</v>
      </c>
      <c r="C38">
        <v>3</v>
      </c>
      <c r="D38">
        <v>5</v>
      </c>
      <c r="E38">
        <v>5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</row>
    <row r="39" spans="1:17" x14ac:dyDescent="0.3">
      <c r="A39">
        <v>7000</v>
      </c>
      <c r="B39" t="s">
        <v>9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3">
      <c r="C40" s="12">
        <f>1-SUM(C34:C39)/39</f>
        <v>0.87179487179487181</v>
      </c>
      <c r="D40" s="12">
        <f t="shared" ref="D40:Q40" si="10">1-SUM(D34:D39)/39</f>
        <v>0.82051282051282048</v>
      </c>
      <c r="E40" s="12">
        <f t="shared" si="10"/>
        <v>0.82051282051282048</v>
      </c>
      <c r="F40" s="12">
        <f t="shared" si="10"/>
        <v>0.97435897435897434</v>
      </c>
      <c r="G40" s="12">
        <f t="shared" si="10"/>
        <v>0.97435897435897434</v>
      </c>
      <c r="H40" s="12">
        <f t="shared" si="10"/>
        <v>0.97435897435897434</v>
      </c>
      <c r="I40" s="12">
        <f t="shared" si="10"/>
        <v>0.97435897435897434</v>
      </c>
      <c r="J40" s="12">
        <f t="shared" si="10"/>
        <v>0.97435897435897434</v>
      </c>
      <c r="K40" s="12">
        <f t="shared" si="10"/>
        <v>0.97435897435897434</v>
      </c>
      <c r="L40" s="12">
        <f t="shared" si="10"/>
        <v>0.97435897435897434</v>
      </c>
      <c r="M40" s="12">
        <f t="shared" si="10"/>
        <v>0.97435897435897434</v>
      </c>
      <c r="N40" s="12">
        <f t="shared" si="10"/>
        <v>0.97435897435897434</v>
      </c>
      <c r="O40" s="12">
        <f t="shared" si="10"/>
        <v>0.97435897435897434</v>
      </c>
      <c r="P40" s="12">
        <f t="shared" si="10"/>
        <v>0.97435897435897434</v>
      </c>
      <c r="Q40" s="12">
        <f t="shared" si="10"/>
        <v>0.97435897435897434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368C-99E7-43BE-9A02-EA87E5A8A73F}">
  <dimension ref="A1:S257"/>
  <sheetViews>
    <sheetView tabSelected="1" topLeftCell="A40" workbookViewId="0">
      <selection activeCell="L22" sqref="L22"/>
    </sheetView>
  </sheetViews>
  <sheetFormatPr defaultRowHeight="14.4" x14ac:dyDescent="0.3"/>
  <cols>
    <col min="1" max="1" width="22" customWidth="1"/>
    <col min="2" max="2" width="10.33203125" customWidth="1"/>
    <col min="3" max="3" width="15.109375" customWidth="1"/>
    <col min="4" max="5" width="12.6640625" customWidth="1"/>
    <col min="6" max="6" width="12" customWidth="1"/>
    <col min="7" max="7" width="21.44140625" customWidth="1"/>
    <col min="8" max="8" width="12.5546875" customWidth="1"/>
    <col min="9" max="9" width="16" customWidth="1"/>
    <col min="10" max="11" width="13.6640625" customWidth="1"/>
    <col min="12" max="12" width="12.109375" customWidth="1"/>
    <col min="13" max="13" width="20.5546875" customWidth="1"/>
    <col min="14" max="14" width="10.6640625" customWidth="1"/>
    <col min="15" max="15" width="14.44140625" customWidth="1"/>
    <col min="16" max="17" width="12.6640625" customWidth="1"/>
    <col min="19" max="19" width="9.33203125" bestFit="1" customWidth="1"/>
  </cols>
  <sheetData>
    <row r="1" spans="1:17" x14ac:dyDescent="0.3">
      <c r="A1" s="1" t="s">
        <v>66</v>
      </c>
      <c r="B1" s="14" t="s">
        <v>67</v>
      </c>
      <c r="C1" s="14" t="s">
        <v>68</v>
      </c>
      <c r="D1" s="14" t="s">
        <v>69</v>
      </c>
      <c r="E1" t="s">
        <v>70</v>
      </c>
      <c r="G1" s="1" t="s">
        <v>71</v>
      </c>
      <c r="H1" s="14" t="s">
        <v>72</v>
      </c>
      <c r="I1" s="14" t="s">
        <v>73</v>
      </c>
      <c r="J1" s="14" t="s">
        <v>74</v>
      </c>
      <c r="K1" t="s">
        <v>75</v>
      </c>
      <c r="M1" s="1" t="s">
        <v>76</v>
      </c>
      <c r="N1" s="14" t="s">
        <v>72</v>
      </c>
      <c r="O1" s="14" t="s">
        <v>73</v>
      </c>
      <c r="P1" s="14" t="s">
        <v>74</v>
      </c>
      <c r="Q1" t="s">
        <v>75</v>
      </c>
    </row>
    <row r="2" spans="1:17" x14ac:dyDescent="0.3">
      <c r="A2" t="s">
        <v>77</v>
      </c>
      <c r="B2" s="15">
        <f>'Cancel Stop Hgl-Odz-Hgl'!C$13</f>
        <v>9.3981481481481485E-3</v>
      </c>
      <c r="C2" s="12">
        <f>'Cancel Stop Hgl-Odz-Hgl'!C$26</f>
        <v>0.83333333333333337</v>
      </c>
      <c r="D2" s="11">
        <f>'Cancel Stop Hgl-Odz-Hgl'!C$28</f>
        <v>-2.0833333333333333E-3</v>
      </c>
      <c r="E2" s="12">
        <f>'Cancel Stop Hgl-Odz-Hgl'!C$31</f>
        <v>0.82051282051282048</v>
      </c>
      <c r="F2" s="11"/>
      <c r="G2" t="s">
        <v>78</v>
      </c>
      <c r="H2" s="15">
        <f>'Cancel Stop Hgl-Odz-Hgl'!D$13</f>
        <v>9.3981481481481485E-3</v>
      </c>
      <c r="I2" s="12">
        <f>'Cancel Stop Hgl-Odz-Hgl'!D$26</f>
        <v>0.83333333333333337</v>
      </c>
      <c r="J2" s="11">
        <f>'Cancel Stop Hgl-Odz-Hgl'!D$28</f>
        <v>-2.7777777777777779E-3</v>
      </c>
      <c r="K2" s="12">
        <f>'Cancel Stop Hgl-Odz-Hgl'!D$31</f>
        <v>0.82051282051282048</v>
      </c>
      <c r="M2" t="s">
        <v>78</v>
      </c>
      <c r="N2" s="15">
        <f>'Cancel Stop Hgl-Odz-Hgl'!E$13</f>
        <v>1.0995370370370371E-2</v>
      </c>
      <c r="O2" s="12">
        <f>'Cancel Stop Hgl-Odz-Hgl'!E$26</f>
        <v>0.5</v>
      </c>
      <c r="P2" s="11">
        <f>'Cancel Stop Hgl-Odz-Hgl'!E$28</f>
        <v>-3.472222222222222E-3</v>
      </c>
      <c r="Q2" s="12">
        <f>'Cancel Stop Hgl-Odz-Hgl'!E$31</f>
        <v>0.82051282051282048</v>
      </c>
    </row>
    <row r="3" spans="1:17" x14ac:dyDescent="0.3">
      <c r="A3" s="13" t="s">
        <v>79</v>
      </c>
      <c r="B3" s="15">
        <f>'ICE Waits'!C$13</f>
        <v>1.1620370370370371E-2</v>
      </c>
      <c r="C3" s="12">
        <f>'ICE Waits'!C$26</f>
        <v>0.66666666666666663</v>
      </c>
      <c r="D3" s="16">
        <f>'ICE Waits'!C$28</f>
        <v>-2.0833333333333333E-3</v>
      </c>
      <c r="E3" s="12">
        <f>'ICE Waits'!C$31</f>
        <v>0.82051282051282048</v>
      </c>
      <c r="G3" s="13" t="s">
        <v>80</v>
      </c>
      <c r="H3" s="15">
        <f>'ICE Waits'!D$13</f>
        <v>1.425925925925926E-2</v>
      </c>
      <c r="I3" s="12">
        <f>'ICE Waits'!D$26</f>
        <v>0.33333333333333331</v>
      </c>
      <c r="J3" s="16">
        <f>'ICE Waits'!D$28</f>
        <v>-2.7777777777777779E-3</v>
      </c>
      <c r="K3" s="12">
        <f>'ICE Waits'!D$31</f>
        <v>0.79487179487179493</v>
      </c>
      <c r="M3" s="13" t="s">
        <v>80</v>
      </c>
      <c r="N3" s="15">
        <f>'ICE Waits'!E$13</f>
        <v>1.7083333333333332E-2</v>
      </c>
      <c r="O3" s="12">
        <f>'ICE Waits'!E$26</f>
        <v>0.33333333333333331</v>
      </c>
      <c r="P3" s="16">
        <f>'ICE Waits'!E$28</f>
        <v>-2.9861111111111108E-3</v>
      </c>
      <c r="Q3" s="12">
        <f>'ICE Waits'!E$31</f>
        <v>0.74358974358974361</v>
      </c>
    </row>
    <row r="4" spans="1:17" x14ac:dyDescent="0.3">
      <c r="A4" t="s">
        <v>81</v>
      </c>
      <c r="B4" s="15">
        <f>'Stop Waits'!C$13</f>
        <v>4.4444444444444453E-3</v>
      </c>
      <c r="C4" s="12">
        <f>'Stop Waits'!C$26</f>
        <v>0.83333333333333337</v>
      </c>
      <c r="D4" s="3">
        <f>'Stop Waits'!C$28</f>
        <v>-2.0833333333333333E-3</v>
      </c>
      <c r="E4" s="12">
        <f>'Stop Waits'!C$31</f>
        <v>0.87179487179487181</v>
      </c>
      <c r="G4" t="s">
        <v>82</v>
      </c>
      <c r="H4" s="15">
        <f>'Stop Waits'!D$13</f>
        <v>8.5648148148148168E-3</v>
      </c>
      <c r="I4" s="12">
        <f>'Stop Waits'!D$26</f>
        <v>0.83333333333333337</v>
      </c>
      <c r="J4" s="3">
        <f>'Stop Waits'!D$28</f>
        <v>-2.7777777777777779E-3</v>
      </c>
      <c r="K4" s="12">
        <f>'Stop Waits'!D$31</f>
        <v>0.82051282051282048</v>
      </c>
      <c r="M4" t="s">
        <v>82</v>
      </c>
      <c r="N4" s="15">
        <f>'Stop Waits'!E$13</f>
        <v>1.2962962962962964E-2</v>
      </c>
      <c r="O4" s="12">
        <f>'Stop Waits'!E$26</f>
        <v>0.33333333333333331</v>
      </c>
      <c r="P4" s="3">
        <f>'Stop Waits'!E$28</f>
        <v>-3.0092592592592593E-3</v>
      </c>
      <c r="Q4" s="12">
        <f>'Stop Waits'!E$31</f>
        <v>0.82051282051282048</v>
      </c>
    </row>
    <row r="5" spans="1:17" x14ac:dyDescent="0.3">
      <c r="A5" t="s">
        <v>83</v>
      </c>
      <c r="B5" s="15">
        <f>'Remove stop Hengelo'!C$13</f>
        <v>1.6203703703703705E-3</v>
      </c>
      <c r="C5" s="12">
        <f>'Remove stop Hengelo'!C$26</f>
        <v>1</v>
      </c>
      <c r="D5" s="3">
        <f>'Remove stop Hengelo'!C$28</f>
        <v>-2.0833333333333333E-3</v>
      </c>
      <c r="E5" s="12">
        <f>'Remove stop Hengelo'!C$31</f>
        <v>0.92307692307692313</v>
      </c>
      <c r="G5" t="s">
        <v>84</v>
      </c>
      <c r="H5" s="15">
        <f>'Remove stop Hengelo'!D$13</f>
        <v>3.5416666666666665E-3</v>
      </c>
      <c r="I5" s="12">
        <f>'Remove stop Hengelo'!D$26</f>
        <v>1</v>
      </c>
      <c r="J5" s="3">
        <f>'Remove stop Hengelo'!D$28</f>
        <v>-2.7777777777777779E-3</v>
      </c>
      <c r="K5" s="12">
        <f>'Remove stop Hengelo'!D$31</f>
        <v>0.87179487179487181</v>
      </c>
      <c r="M5" t="s">
        <v>84</v>
      </c>
      <c r="N5" s="15">
        <f>'Remove stop Hengelo'!E$13</f>
        <v>7.9398148148148162E-3</v>
      </c>
      <c r="O5" s="12">
        <f>'Remove stop Hengelo'!E$26</f>
        <v>0.66666666666666663</v>
      </c>
      <c r="P5" s="3">
        <f>'Remove stop Hengelo'!E$28</f>
        <v>-3.472222222222222E-3</v>
      </c>
      <c r="Q5" s="12">
        <f>'Remove stop Hengelo'!E$31</f>
        <v>0.87179487179487181</v>
      </c>
    </row>
    <row r="6" spans="1:17" x14ac:dyDescent="0.3">
      <c r="A6" t="s">
        <v>85</v>
      </c>
      <c r="B6" s="15">
        <f>'Extra platform Hengelo'!C$13</f>
        <v>4.3287037037037044E-3</v>
      </c>
      <c r="C6" s="12">
        <f>'Extra platform Hengelo'!C$26</f>
        <v>0.83333333333333337</v>
      </c>
      <c r="D6" s="3">
        <f>'Extra platform Hengelo'!C$28</f>
        <v>-2.0833333333333333E-3</v>
      </c>
      <c r="E6" s="12">
        <f>'Extra platform Hengelo'!C$31</f>
        <v>0.87179487179487181</v>
      </c>
      <c r="G6" t="s">
        <v>86</v>
      </c>
      <c r="H6" s="15">
        <f>'Extra platform Hengelo'!D$13</f>
        <v>8.5416666666666662E-3</v>
      </c>
      <c r="I6" s="12">
        <f>'Extra platform Hengelo'!D$26</f>
        <v>0.83333333333333337</v>
      </c>
      <c r="J6" s="3">
        <f>'Extra platform Hengelo'!D$28</f>
        <v>-2.7777777777777779E-3</v>
      </c>
      <c r="K6" s="12">
        <f>'Extra platform Hengelo'!D$31</f>
        <v>0.82051282051282048</v>
      </c>
      <c r="M6" t="s">
        <v>86</v>
      </c>
      <c r="N6" s="15">
        <f>'Extra platform Hengelo'!E$13</f>
        <v>1.2962962962962964E-2</v>
      </c>
      <c r="O6" s="12">
        <f>'Extra platform Hengelo'!E$26</f>
        <v>0.33333333333333331</v>
      </c>
      <c r="P6" s="3">
        <f>'Extra platform Hengelo'!E$28</f>
        <v>-3.472222222222222E-3</v>
      </c>
      <c r="Q6" s="12">
        <f>'Extra platform Hengelo'!E$31</f>
        <v>0.82051282051282048</v>
      </c>
    </row>
    <row r="7" spans="1:17" x14ac:dyDescent="0.3">
      <c r="A7" t="s">
        <v>87</v>
      </c>
      <c r="B7" s="15">
        <f>'Short-turn Hengelo'!C$13</f>
        <v>4.9074074074074081E-3</v>
      </c>
      <c r="C7" s="12">
        <f>'Short-turn Hengelo'!C$26</f>
        <v>1</v>
      </c>
      <c r="D7" s="3" t="str">
        <f>'Short-turn Hengelo'!C$28</f>
        <v>N/A</v>
      </c>
      <c r="E7" s="12">
        <f>'Short-turn Hengelo'!C$31</f>
        <v>0.92307692307692313</v>
      </c>
      <c r="G7" t="s">
        <v>88</v>
      </c>
      <c r="H7" s="15">
        <f>'Short-turn Hengelo'!D$13</f>
        <v>6.0879629629629643E-3</v>
      </c>
      <c r="I7" s="12">
        <f>'Short-turn Hengelo'!D$26</f>
        <v>1</v>
      </c>
      <c r="J7" s="3" t="str">
        <f>'Short-turn Hengelo'!D$28</f>
        <v>N/A</v>
      </c>
      <c r="K7" s="12">
        <f>'Short-turn Hengelo'!D$31</f>
        <v>0.92307692307692313</v>
      </c>
      <c r="M7" t="s">
        <v>88</v>
      </c>
      <c r="N7" s="15">
        <f>'Short-turn Hengelo'!E$13</f>
        <v>6.898148148148148E-3</v>
      </c>
      <c r="O7" s="12">
        <f>'Short-turn Hengelo'!E$26</f>
        <v>0.83333333333333337</v>
      </c>
      <c r="P7" s="3" t="str">
        <f>'Short-turn Hengelo'!E$28</f>
        <v>N/A</v>
      </c>
      <c r="Q7" s="12">
        <f>'Short-turn Hengelo'!E$31</f>
        <v>0.92307692307692313</v>
      </c>
    </row>
    <row r="8" spans="1:17" x14ac:dyDescent="0.3">
      <c r="A8" t="s">
        <v>89</v>
      </c>
      <c r="B8" s="15">
        <f>'Overtake Rijssen'!C$13</f>
        <v>1.9699074074074074E-2</v>
      </c>
      <c r="C8" s="12">
        <f>'Overtake Rijssen'!C$26</f>
        <v>0.5</v>
      </c>
      <c r="D8" s="3">
        <f>'Overtake Rijssen'!C$28</f>
        <v>-2.0833333333333333E-3</v>
      </c>
      <c r="E8" s="12">
        <f>'Overtake Rijssen'!C$31</f>
        <v>0.82051282051282048</v>
      </c>
      <c r="G8" t="s">
        <v>90</v>
      </c>
      <c r="H8" s="15">
        <f>'Overtake Rijssen'!D$13</f>
        <v>2.0648148148148152E-2</v>
      </c>
      <c r="I8" s="12">
        <f>'Overtake Rijssen'!J$26</f>
        <v>0.66666666666666663</v>
      </c>
      <c r="J8" s="3">
        <f>'Overtake Rijssen'!D$28</f>
        <v>-2.7777777777777779E-3</v>
      </c>
      <c r="K8" s="12">
        <f>'Overtake Rijssen'!D$31</f>
        <v>0.82051282051282048</v>
      </c>
      <c r="M8" t="s">
        <v>90</v>
      </c>
      <c r="N8" s="15">
        <f>'Overtake Rijssen'!E$13</f>
        <v>2.3402777777777779E-2</v>
      </c>
      <c r="O8" s="12">
        <f>'Overtake Rijssen'!E$26</f>
        <v>0.33333333333333331</v>
      </c>
      <c r="P8" s="3">
        <f>'Overtake Rijssen'!E$28</f>
        <v>-3.472222222222222E-3</v>
      </c>
      <c r="Q8" s="12">
        <f>'Overtake Rijssen'!E$31</f>
        <v>0.82051282051282048</v>
      </c>
    </row>
    <row r="9" spans="1:17" x14ac:dyDescent="0.3">
      <c r="A9" t="s">
        <v>91</v>
      </c>
      <c r="B9" s="15">
        <f>'Alternative ICE Paths'!C$13</f>
        <v>3.8657407407407403E-3</v>
      </c>
      <c r="C9" s="12">
        <f>'Alternative ICE Paths'!C$26</f>
        <v>1</v>
      </c>
      <c r="D9" s="3">
        <f>'Alternative ICE Paths'!C$28</f>
        <v>1.5509259259259261E-2</v>
      </c>
      <c r="E9" s="12">
        <f>'Alternative ICE Paths'!C$31</f>
        <v>0.97435897435897434</v>
      </c>
      <c r="G9" t="s">
        <v>92</v>
      </c>
      <c r="H9" s="15">
        <f>'Alternative ICE Paths'!D$13</f>
        <v>3.8657407407407403E-3</v>
      </c>
      <c r="I9" s="12">
        <f>'Alternative ICE Paths'!D$26</f>
        <v>1</v>
      </c>
      <c r="J9" s="3">
        <f>'Alternative ICE Paths'!D$28</f>
        <v>1.4814814814814815E-2</v>
      </c>
      <c r="K9" s="12">
        <f>'Alternative ICE Paths'!D$31</f>
        <v>0.97435897435897434</v>
      </c>
      <c r="M9" t="s">
        <v>92</v>
      </c>
      <c r="N9" s="15">
        <f>'Alternative ICE Paths'!E$13</f>
        <v>3.8657407407407403E-3</v>
      </c>
      <c r="O9" s="12">
        <f>'Alternative ICE Paths'!E$26</f>
        <v>1</v>
      </c>
      <c r="P9" s="3">
        <f>'Alternative ICE Paths'!E$28</f>
        <v>1.4120370370370372E-2</v>
      </c>
      <c r="Q9" s="12">
        <f>'Alternative ICE Paths'!E$31</f>
        <v>0.97435897435897434</v>
      </c>
    </row>
    <row r="10" spans="1:17" x14ac:dyDescent="0.3">
      <c r="A10" t="s">
        <v>93</v>
      </c>
      <c r="B10" s="15">
        <f>'Stop Almelo'!C$13</f>
        <v>7.5462962962962957E-3</v>
      </c>
      <c r="C10" s="12">
        <f>'Stop Almelo'!C$26</f>
        <v>0.83333333333333337</v>
      </c>
      <c r="D10" s="3">
        <f>'Stop Almelo'!C$28</f>
        <v>-2.0833333333333333E-3</v>
      </c>
      <c r="E10" s="12">
        <f>'Stop Almelo'!C$31</f>
        <v>0.82051282051282048</v>
      </c>
      <c r="G10" t="s">
        <v>94</v>
      </c>
      <c r="H10" s="15">
        <f>'Stop Almelo'!D$13</f>
        <v>9.2592592592592605E-3</v>
      </c>
      <c r="I10" s="12">
        <f>'Stop Almelo'!D$26</f>
        <v>0.83333333333333337</v>
      </c>
      <c r="J10" s="3">
        <f>'Stop Almelo'!D$28</f>
        <v>-2.7777777777777779E-3</v>
      </c>
      <c r="K10" s="12">
        <f>'Stop Almelo'!D$31</f>
        <v>0.82051282051282048</v>
      </c>
      <c r="M10" t="s">
        <v>94</v>
      </c>
      <c r="N10" s="15">
        <f>'Stop Almelo'!E$13</f>
        <v>1.3587962962962965E-2</v>
      </c>
      <c r="O10" s="12">
        <f>'Stop Almelo'!E$26</f>
        <v>0.33333333333333331</v>
      </c>
      <c r="P10" s="3">
        <f>'Stop Almelo'!E$28</f>
        <v>-3.472222222222222E-3</v>
      </c>
      <c r="Q10" s="12">
        <f>'Stop Almelo'!E$31</f>
        <v>0.79487179487179493</v>
      </c>
    </row>
    <row r="12" spans="1:17" x14ac:dyDescent="0.3">
      <c r="A12" s="1" t="s">
        <v>95</v>
      </c>
      <c r="B12" t="s">
        <v>72</v>
      </c>
      <c r="C12" s="14" t="s">
        <v>73</v>
      </c>
      <c r="D12" s="14" t="s">
        <v>74</v>
      </c>
      <c r="E12" t="s">
        <v>75</v>
      </c>
      <c r="G12" s="1" t="s">
        <v>96</v>
      </c>
      <c r="H12" t="s">
        <v>72</v>
      </c>
      <c r="I12" s="14" t="s">
        <v>73</v>
      </c>
      <c r="J12" s="14" t="s">
        <v>74</v>
      </c>
      <c r="K12" t="s">
        <v>75</v>
      </c>
      <c r="M12" s="1" t="s">
        <v>97</v>
      </c>
      <c r="N12" t="s">
        <v>72</v>
      </c>
      <c r="O12" s="14" t="s">
        <v>73</v>
      </c>
      <c r="P12" s="14" t="s">
        <v>74</v>
      </c>
      <c r="Q12" t="s">
        <v>75</v>
      </c>
    </row>
    <row r="13" spans="1:17" x14ac:dyDescent="0.3">
      <c r="A13" t="s">
        <v>78</v>
      </c>
      <c r="B13" s="10">
        <f>'Cancel Stop Hgl-Odz-Hgl'!F$13</f>
        <v>1.3773148148148149E-2</v>
      </c>
      <c r="C13" s="12">
        <f>'Cancel Stop Hgl-Odz-Hgl'!F$26</f>
        <v>0.5</v>
      </c>
      <c r="D13" s="3">
        <f>'Cancel Stop Hgl-Odz-Hgl'!F$28</f>
        <v>-4.0046296296296297E-3</v>
      </c>
      <c r="E13" s="12">
        <f>'Cancel Stop Hgl-Odz-Hgl'!F$31</f>
        <v>0.79487179487179493</v>
      </c>
      <c r="G13" t="s">
        <v>78</v>
      </c>
      <c r="H13" s="10">
        <f>'Cancel Stop Hgl-Odz-Hgl'!G$13</f>
        <v>2.4259259259259258E-2</v>
      </c>
      <c r="I13" s="12">
        <f>'Cancel Stop Hgl-Odz-Hgl'!G$26</f>
        <v>0.5</v>
      </c>
      <c r="J13" s="3">
        <f>'Cancel Stop Hgl-Odz-Hgl'!G$28</f>
        <v>-4.0046296296296288E-3</v>
      </c>
      <c r="K13" s="12">
        <f>'Cancel Stop Hgl-Odz-Hgl'!G$31</f>
        <v>0.74358974358974361</v>
      </c>
      <c r="M13" t="s">
        <v>78</v>
      </c>
      <c r="N13" s="10">
        <f>'Cancel Stop Hgl-Odz-Hgl'!H$13</f>
        <v>2.1458333333333336E-2</v>
      </c>
      <c r="O13" s="12">
        <f>'Cancel Stop Hgl-Odz-Hgl'!H$26</f>
        <v>0.5</v>
      </c>
      <c r="P13" s="3">
        <f>'Cancel Stop Hgl-Odz-Hgl'!H$28</f>
        <v>-3.5879629629629573E-3</v>
      </c>
      <c r="Q13" s="12">
        <f>'Cancel Stop Hgl-Odz-Hgl'!H$31</f>
        <v>0.92307692307692313</v>
      </c>
    </row>
    <row r="14" spans="1:17" x14ac:dyDescent="0.3">
      <c r="A14" s="13" t="s">
        <v>80</v>
      </c>
      <c r="B14" s="15">
        <f>'ICE Waits'!F$13</f>
        <v>8.6805555555555559E-3</v>
      </c>
      <c r="C14" s="12">
        <f>'ICE Waits'!F$26</f>
        <v>0.83333333333333337</v>
      </c>
      <c r="D14" s="3">
        <f>'ICE Waits'!F$28</f>
        <v>5.5324074074074069E-3</v>
      </c>
      <c r="E14" s="12">
        <f>'ICE Waits'!F$31</f>
        <v>0.97435897435897434</v>
      </c>
      <c r="G14" s="13" t="s">
        <v>80</v>
      </c>
      <c r="H14" s="15">
        <f>'ICE Waits'!G$13</f>
        <v>8.6805555555555559E-3</v>
      </c>
      <c r="I14" s="12">
        <f>'ICE Waits'!G$26</f>
        <v>0.83333333333333337</v>
      </c>
      <c r="J14" s="3">
        <f>'ICE Waits'!G$28</f>
        <v>4.8379629629629632E-3</v>
      </c>
      <c r="K14" s="12">
        <f>'ICE Waits'!G$31</f>
        <v>0.97435897435897434</v>
      </c>
      <c r="M14" s="13" t="s">
        <v>80</v>
      </c>
      <c r="N14" s="15">
        <f>'ICE Waits'!H$13</f>
        <v>8.6805555555555559E-3</v>
      </c>
      <c r="O14" s="12">
        <f>'ICE Waits'!H$26</f>
        <v>0.83333333333333337</v>
      </c>
      <c r="P14" s="3">
        <f>'ICE Waits'!H$28</f>
        <v>4.1435185185185238E-3</v>
      </c>
      <c r="Q14" s="12">
        <f>'ICE Waits'!H$31</f>
        <v>0.97435897435897434</v>
      </c>
    </row>
    <row r="15" spans="1:17" x14ac:dyDescent="0.3">
      <c r="A15" t="s">
        <v>82</v>
      </c>
      <c r="B15" s="15">
        <f>'Stop Waits'!F$13</f>
        <v>1.5740740740740739E-2</v>
      </c>
      <c r="C15" s="12">
        <f>'Stop Waits'!F$26</f>
        <v>0.33333333333333331</v>
      </c>
      <c r="D15" s="3">
        <f>'Stop Waits'!F$28</f>
        <v>-4.0046296296296297E-3</v>
      </c>
      <c r="E15" s="12">
        <f>'Stop Waits'!F$31</f>
        <v>0.79487179487179493</v>
      </c>
      <c r="G15" t="s">
        <v>82</v>
      </c>
      <c r="H15" s="15">
        <f>'Stop Waits'!G$13</f>
        <v>2.6689814814814816E-2</v>
      </c>
      <c r="I15" s="12">
        <f>'Stop Waits'!G$26</f>
        <v>0.16666666666666666</v>
      </c>
      <c r="J15" s="3">
        <f>'Stop Waits'!G$28</f>
        <v>-4.0046296296296288E-3</v>
      </c>
      <c r="K15" s="12">
        <f>'Stop Waits'!G$31</f>
        <v>0.71794871794871795</v>
      </c>
      <c r="M15" t="s">
        <v>82</v>
      </c>
      <c r="N15" s="15">
        <f>'Stop Waits'!H$13</f>
        <v>2.4583333333333339E-2</v>
      </c>
      <c r="O15" s="12">
        <f>'Stop Waits'!H$26</f>
        <v>0.33333333333333331</v>
      </c>
      <c r="P15" s="3">
        <f>'Stop Waits'!H$28</f>
        <v>-3.5879629629629573E-3</v>
      </c>
      <c r="Q15" s="12">
        <f>'Stop Waits'!H$31</f>
        <v>0.89743589743589747</v>
      </c>
    </row>
    <row r="16" spans="1:17" x14ac:dyDescent="0.3">
      <c r="A16" t="s">
        <v>84</v>
      </c>
      <c r="B16" s="15">
        <f>'Remove stop Hengelo'!F$13</f>
        <v>1.1782407407407408E-2</v>
      </c>
      <c r="C16" s="12">
        <f>'Remove stop Hengelo'!F$26</f>
        <v>0.66666666666666663</v>
      </c>
      <c r="D16" s="3">
        <f>'Remove stop Hengelo'!F$28</f>
        <v>-4.1666666666666666E-3</v>
      </c>
      <c r="E16" s="12">
        <f>'Remove stop Hengelo'!F$31</f>
        <v>0.82051282051282048</v>
      </c>
      <c r="G16" t="s">
        <v>84</v>
      </c>
      <c r="H16" s="15">
        <f>'Remove stop Hengelo'!G$13</f>
        <v>1.3171296296296296E-2</v>
      </c>
      <c r="I16" s="12">
        <f>'Remove stop Hengelo'!G$26</f>
        <v>0.5</v>
      </c>
      <c r="J16" s="3">
        <f>'Remove stop Hengelo'!G$28</f>
        <v>-4.4444444444444436E-3</v>
      </c>
      <c r="K16" s="12">
        <f>'Remove stop Hengelo'!G$31</f>
        <v>0.79487179487179493</v>
      </c>
      <c r="M16" t="s">
        <v>84</v>
      </c>
      <c r="N16" s="15">
        <f>'Remove stop Hengelo'!H$13</f>
        <v>1.3356481481481481E-2</v>
      </c>
      <c r="O16" s="12">
        <f>'Remove stop Hengelo'!H$26</f>
        <v>0.5</v>
      </c>
      <c r="P16" s="3">
        <f>'Remove stop Hengelo'!H$28</f>
        <v>-5.0925925925925869E-3</v>
      </c>
      <c r="Q16" s="12">
        <f>'Remove stop Hengelo'!H$31</f>
        <v>0.79487179487179493</v>
      </c>
    </row>
    <row r="17" spans="1:17" x14ac:dyDescent="0.3">
      <c r="A17" t="s">
        <v>86</v>
      </c>
      <c r="B17" s="15">
        <f>'Extra platform Hengelo'!F$13</f>
        <v>1.5740740740740739E-2</v>
      </c>
      <c r="C17" s="12">
        <f>'Extra platform Hengelo'!F$26</f>
        <v>0.33333333333333331</v>
      </c>
      <c r="D17" s="3">
        <f>'Extra platform Hengelo'!F$28</f>
        <v>-4.0046296296296297E-3</v>
      </c>
      <c r="E17" s="12">
        <f>'Extra platform Hengelo'!F$31</f>
        <v>0.79487179487179493</v>
      </c>
      <c r="G17" t="s">
        <v>86</v>
      </c>
      <c r="H17" s="15">
        <f>'Extra platform Hengelo'!G$13</f>
        <v>2.0277777777777777E-2</v>
      </c>
      <c r="I17" s="12">
        <f>'Extra platform Hengelo'!G$26</f>
        <v>0.5</v>
      </c>
      <c r="J17" s="3">
        <f>'Extra platform Hengelo'!G$28</f>
        <v>-2.8240740740740735E-3</v>
      </c>
      <c r="K17" s="12">
        <f>'Extra platform Hengelo'!G$31</f>
        <v>0.97435897435897434</v>
      </c>
      <c r="M17" t="s">
        <v>86</v>
      </c>
      <c r="N17" s="15">
        <f>'Extra platform Hengelo'!H$13</f>
        <v>2.0393518518518519E-2</v>
      </c>
      <c r="O17" s="12">
        <f>'Extra platform Hengelo'!H$26</f>
        <v>0.5</v>
      </c>
      <c r="P17" s="3">
        <f>'Extra platform Hengelo'!H$28</f>
        <v>-3.4953703703703644E-3</v>
      </c>
      <c r="Q17" s="12">
        <f>'Extra platform Hengelo'!H$31</f>
        <v>0.97435897435897434</v>
      </c>
    </row>
    <row r="18" spans="1:17" x14ac:dyDescent="0.3">
      <c r="A18" t="s">
        <v>88</v>
      </c>
      <c r="B18" s="15">
        <f>'Short-turn Hengelo'!F$13</f>
        <v>8.4722222222222213E-3</v>
      </c>
      <c r="C18" s="12">
        <f>'Short-turn Hengelo'!F$26</f>
        <v>0.83333333333333337</v>
      </c>
      <c r="D18" s="3" t="str">
        <f>'Short-turn Hengelo'!F$28</f>
        <v>N/A</v>
      </c>
      <c r="E18" s="12">
        <f>'Short-turn Hengelo'!F$31</f>
        <v>0.92307692307692313</v>
      </c>
      <c r="G18" t="s">
        <v>88</v>
      </c>
      <c r="H18" s="15">
        <f>'Short-turn Hengelo'!G$13</f>
        <v>1.2314814814814815E-2</v>
      </c>
      <c r="I18" s="12">
        <f>'Short-turn Hengelo'!G$26</f>
        <v>0.83333333333333337</v>
      </c>
      <c r="J18" s="3" t="str">
        <f>'Short-turn Hengelo'!G$28</f>
        <v>N/A</v>
      </c>
      <c r="K18" s="12">
        <f>'Short-turn Hengelo'!G$31</f>
        <v>0.97435897435897434</v>
      </c>
      <c r="M18" t="s">
        <v>88</v>
      </c>
      <c r="N18" s="15">
        <f>'Short-turn Hengelo'!H$13</f>
        <v>1.2314814814814815E-2</v>
      </c>
      <c r="O18" s="12">
        <f>'Short-turn Hengelo'!H$26</f>
        <v>0.83333333333333337</v>
      </c>
      <c r="P18" s="3" t="str">
        <f>'Short-turn Hengelo'!H$28</f>
        <v>N/A</v>
      </c>
      <c r="Q18" s="12">
        <f>'Short-turn Hengelo'!H$31</f>
        <v>0.97435897435897434</v>
      </c>
    </row>
    <row r="19" spans="1:17" x14ac:dyDescent="0.3">
      <c r="A19" t="s">
        <v>90</v>
      </c>
      <c r="B19" s="15">
        <f>'Overtake Rijssen'!F$13</f>
        <v>2.5162037037037035E-2</v>
      </c>
      <c r="C19" s="12">
        <f>'Overtake Rijssen'!F$26</f>
        <v>0.33333333333333331</v>
      </c>
      <c r="D19" s="3">
        <f>'Overtake Rijssen'!F$28</f>
        <v>-4.0046296296296297E-3</v>
      </c>
      <c r="E19" s="12">
        <f>'Overtake Rijssen'!F$31</f>
        <v>0.79487179487179493</v>
      </c>
      <c r="G19" t="s">
        <v>90</v>
      </c>
      <c r="H19" s="15">
        <f>'Overtake Rijssen'!G$13</f>
        <v>1.9560185185185184E-2</v>
      </c>
      <c r="I19" s="12">
        <f>'Overtake Rijssen'!G$26</f>
        <v>0.66666666666666663</v>
      </c>
      <c r="J19" s="3">
        <f>'Overtake Rijssen'!G$28</f>
        <v>2.9629629629629632E-3</v>
      </c>
      <c r="K19" s="12">
        <f>'Overtake Rijssen'!G$31</f>
        <v>0.97435897435897434</v>
      </c>
      <c r="M19" t="s">
        <v>90</v>
      </c>
      <c r="N19" s="15">
        <f>'Overtake Rijssen'!H$13</f>
        <v>1.9560185185185184E-2</v>
      </c>
      <c r="O19" s="12">
        <f>'Overtake Rijssen'!H$26</f>
        <v>0.66666666666666663</v>
      </c>
      <c r="P19" s="3">
        <f>'Overtake Rijssen'!H$28</f>
        <v>2.2685185185185239E-3</v>
      </c>
      <c r="Q19" s="12">
        <f>'Overtake Rijssen'!H$31</f>
        <v>0.97435897435897434</v>
      </c>
    </row>
    <row r="20" spans="1:17" x14ac:dyDescent="0.3">
      <c r="A20" t="s">
        <v>92</v>
      </c>
      <c r="B20" s="15">
        <f>'Alternative ICE Paths'!F$13</f>
        <v>3.8657407407407403E-3</v>
      </c>
      <c r="C20" s="12">
        <f>'Alternative ICE Paths'!F$26</f>
        <v>1</v>
      </c>
      <c r="D20" s="3">
        <f>'Alternative ICE Paths'!F$28</f>
        <v>1.3425925925925928E-2</v>
      </c>
      <c r="E20" s="12">
        <f>'Alternative ICE Paths'!F$31</f>
        <v>0.97435897435897434</v>
      </c>
      <c r="G20" t="s">
        <v>92</v>
      </c>
      <c r="H20" s="15">
        <f>'Alternative ICE Paths'!G$13</f>
        <v>3.8657407407407403E-3</v>
      </c>
      <c r="I20" s="12">
        <f>'Alternative ICE Paths'!G$26</f>
        <v>1</v>
      </c>
      <c r="J20" s="3">
        <f>'Alternative ICE Paths'!G$28</f>
        <v>1.2731481481481483E-2</v>
      </c>
      <c r="K20" s="12">
        <f>'Alternative ICE Paths'!G$31</f>
        <v>0.97435897435897434</v>
      </c>
      <c r="M20" t="s">
        <v>92</v>
      </c>
      <c r="N20" s="15">
        <f>'Alternative ICE Paths'!H$13</f>
        <v>3.8657407407407403E-3</v>
      </c>
      <c r="O20" s="12">
        <f>'Alternative ICE Paths'!H$26</f>
        <v>1</v>
      </c>
      <c r="P20" s="3">
        <f>'Alternative ICE Paths'!H$28</f>
        <v>1.2037037037037044E-2</v>
      </c>
      <c r="Q20" s="12">
        <f>'Alternative ICE Paths'!H$31</f>
        <v>0.97435897435897434</v>
      </c>
    </row>
    <row r="21" spans="1:17" x14ac:dyDescent="0.3">
      <c r="A21" t="s">
        <v>94</v>
      </c>
      <c r="B21" s="15">
        <f>'Stop Almelo'!F$13</f>
        <v>1.5671296296296294E-2</v>
      </c>
      <c r="C21" s="12">
        <f>'Stop Almelo'!F$26</f>
        <v>0.33333333333333331</v>
      </c>
      <c r="D21" s="3">
        <f>'Stop Almelo'!F$28</f>
        <v>-3.7962962962962963E-3</v>
      </c>
      <c r="E21" s="12">
        <f>'Stop Almelo'!F$31</f>
        <v>0.74358974358974361</v>
      </c>
      <c r="G21" t="s">
        <v>94</v>
      </c>
      <c r="H21" s="15">
        <f>'Stop Almelo'!G$13</f>
        <v>2.0347222222222221E-2</v>
      </c>
      <c r="I21" s="12">
        <f>'Stop Almelo'!G$26</f>
        <v>0.5</v>
      </c>
      <c r="J21" s="3">
        <f>'Stop Almelo'!G$28</f>
        <v>-2.777777777777777E-3</v>
      </c>
      <c r="K21" s="12">
        <f>'Stop Almelo'!G$31</f>
        <v>0.97435897435897434</v>
      </c>
      <c r="M21" t="s">
        <v>94</v>
      </c>
      <c r="N21" s="15">
        <f>'Stop Almelo'!H$13</f>
        <v>2.0416666666666666E-2</v>
      </c>
      <c r="O21" s="12">
        <f>'Stop Almelo'!H$26</f>
        <v>0.5</v>
      </c>
      <c r="P21" s="3">
        <f>'Stop Almelo'!H$28</f>
        <v>-3.4953703703703644E-3</v>
      </c>
      <c r="Q21" s="12">
        <f>'Stop Almelo'!H$31</f>
        <v>0.97435897435897434</v>
      </c>
    </row>
    <row r="23" spans="1:17" x14ac:dyDescent="0.3">
      <c r="A23" s="1" t="s">
        <v>98</v>
      </c>
      <c r="B23" t="s">
        <v>72</v>
      </c>
      <c r="C23" s="14" t="s">
        <v>73</v>
      </c>
      <c r="D23" s="14" t="s">
        <v>74</v>
      </c>
      <c r="E23" t="s">
        <v>75</v>
      </c>
      <c r="G23" s="1" t="s">
        <v>99</v>
      </c>
      <c r="H23" t="s">
        <v>72</v>
      </c>
      <c r="I23" s="14" t="s">
        <v>73</v>
      </c>
      <c r="J23" s="14" t="s">
        <v>74</v>
      </c>
      <c r="K23" t="s">
        <v>75</v>
      </c>
      <c r="M23" s="1" t="s">
        <v>100</v>
      </c>
      <c r="N23" t="s">
        <v>72</v>
      </c>
      <c r="O23" s="14" t="s">
        <v>73</v>
      </c>
      <c r="P23" s="14" t="s">
        <v>74</v>
      </c>
      <c r="Q23" t="s">
        <v>75</v>
      </c>
    </row>
    <row r="24" spans="1:17" x14ac:dyDescent="0.3">
      <c r="A24" t="s">
        <v>78</v>
      </c>
      <c r="B24" s="10">
        <f>'Cancel Stop Hgl-Odz-Hgl'!I$13</f>
        <v>2.3125E-2</v>
      </c>
      <c r="C24" s="12">
        <f>'Cancel Stop Hgl-Odz-Hgl'!I$26</f>
        <v>0.5</v>
      </c>
      <c r="D24" s="3">
        <f>'Cancel Stop Hgl-Odz-Hgl'!I$28</f>
        <v>-4.0046296296296306E-3</v>
      </c>
      <c r="E24" s="12">
        <f>'Cancel Stop Hgl-Odz-Hgl'!I$31</f>
        <v>0.92307692307692313</v>
      </c>
      <c r="G24" t="s">
        <v>78</v>
      </c>
      <c r="H24" s="10">
        <f>'Cancel Stop Hgl-Odz-Hgl'!J$13</f>
        <v>1.087962962962963E-2</v>
      </c>
      <c r="I24" s="12">
        <f>'Cancel Stop Hgl-Odz-Hgl'!J$26</f>
        <v>0.66666666666666663</v>
      </c>
      <c r="J24" s="3">
        <f>'Cancel Stop Hgl-Odz-Hgl'!J$28</f>
        <v>2.7546296296296338E-3</v>
      </c>
      <c r="K24" s="12">
        <f>'Cancel Stop Hgl-Odz-Hgl'!J$31</f>
        <v>0.92307692307692313</v>
      </c>
      <c r="M24" t="s">
        <v>78</v>
      </c>
      <c r="N24" s="10">
        <f>'Cancel Stop Hgl-Odz-Hgl'!K$13</f>
        <v>1.087962962962963E-2</v>
      </c>
      <c r="O24" s="12">
        <f>'Cancel Stop Hgl-Odz-Hgl'!K$26</f>
        <v>0.66666666666666663</v>
      </c>
      <c r="P24" s="3">
        <f>'Cancel Stop Hgl-Odz-Hgl'!K$28</f>
        <v>2.0601851851851831E-3</v>
      </c>
      <c r="Q24" s="12">
        <f>'Cancel Stop Hgl-Odz-Hgl'!K$31</f>
        <v>0.92307692307692313</v>
      </c>
    </row>
    <row r="25" spans="1:17" x14ac:dyDescent="0.3">
      <c r="A25" s="13" t="s">
        <v>80</v>
      </c>
      <c r="B25" s="15">
        <f>'ICE Waits'!I$13</f>
        <v>6.2962962962962964E-3</v>
      </c>
      <c r="C25" s="12">
        <f>'ICE Waits'!I$26</f>
        <v>0.83333333333333337</v>
      </c>
      <c r="D25" s="3">
        <f>'ICE Waits'!I$28</f>
        <v>3.4490740740740732E-3</v>
      </c>
      <c r="E25" s="12">
        <f>'ICE Waits'!I$31</f>
        <v>0.97435897435897434</v>
      </c>
      <c r="G25" s="13" t="s">
        <v>80</v>
      </c>
      <c r="H25" s="15">
        <f>'ICE Waits'!J$13</f>
        <v>8.6574074074074071E-3</v>
      </c>
      <c r="I25" s="12">
        <f>'ICE Waits'!J$26</f>
        <v>0.83333333333333337</v>
      </c>
      <c r="J25" s="3">
        <f>'ICE Waits'!J$28</f>
        <v>2.7546296296296338E-3</v>
      </c>
      <c r="K25" s="12">
        <f>'ICE Waits'!J$31</f>
        <v>0.97435897435897434</v>
      </c>
      <c r="M25" s="13" t="s">
        <v>80</v>
      </c>
      <c r="N25" s="15">
        <f>'ICE Waits'!K$13</f>
        <v>8.6805555555555559E-3</v>
      </c>
      <c r="O25" s="12">
        <f>'ICE Waits'!K$26</f>
        <v>0.83333333333333337</v>
      </c>
      <c r="P25" s="3">
        <f>'ICE Waits'!K$28</f>
        <v>2.0601851851851831E-3</v>
      </c>
      <c r="Q25" s="12">
        <f>'ICE Waits'!K$31</f>
        <v>0.97435897435897434</v>
      </c>
    </row>
    <row r="26" spans="1:17" x14ac:dyDescent="0.3">
      <c r="A26" t="s">
        <v>82</v>
      </c>
      <c r="B26" s="15">
        <f>'Stop Waits'!I$13</f>
        <v>2.6944444444444444E-2</v>
      </c>
      <c r="C26" s="12">
        <f>'Stop Waits'!I$26</f>
        <v>0.33333333333333331</v>
      </c>
      <c r="D26" s="3">
        <f>'Stop Waits'!I$28</f>
        <v>-4.0046296296296306E-3</v>
      </c>
      <c r="E26" s="12">
        <f>'Stop Waits'!I$31</f>
        <v>0.82051282051282048</v>
      </c>
      <c r="G26" t="s">
        <v>82</v>
      </c>
      <c r="H26" s="15">
        <f>'Stop Waits'!J$13</f>
        <v>1.9328703703703702E-2</v>
      </c>
      <c r="I26" s="12">
        <f>'Stop Waits'!J$26</f>
        <v>0.5</v>
      </c>
      <c r="J26" s="3">
        <f>'Stop Waits'!J$28</f>
        <v>2.7546296296296338E-3</v>
      </c>
      <c r="K26" s="12">
        <f>'Stop Waits'!J$31</f>
        <v>0.76923076923076916</v>
      </c>
      <c r="M26" t="s">
        <v>82</v>
      </c>
      <c r="N26" s="15">
        <f>'Stop Waits'!K$13</f>
        <v>2.2453703703703705E-2</v>
      </c>
      <c r="O26" s="12">
        <f>'Stop Waits'!K$26</f>
        <v>0.5</v>
      </c>
      <c r="P26" s="3">
        <f>'Stop Waits'!K$28</f>
        <v>2.0601851851851831E-3</v>
      </c>
      <c r="Q26" s="12">
        <f>'Stop Waits'!K$31</f>
        <v>0.74358974358974361</v>
      </c>
    </row>
    <row r="27" spans="1:17" x14ac:dyDescent="0.3">
      <c r="A27" t="s">
        <v>84</v>
      </c>
      <c r="B27" s="15">
        <f>'Remove stop Hengelo'!I$13</f>
        <v>2.2847222222222224E-2</v>
      </c>
      <c r="C27" s="12">
        <f>'Remove stop Hengelo'!I$26</f>
        <v>0.5</v>
      </c>
      <c r="D27" s="3">
        <f>'Remove stop Hengelo'!I$28</f>
        <v>-5.3240740740740748E-3</v>
      </c>
      <c r="E27" s="12">
        <f>'Remove stop Hengelo'!I$31</f>
        <v>0.79487179487179493</v>
      </c>
      <c r="G27" t="s">
        <v>84</v>
      </c>
      <c r="H27" s="15">
        <f>'Remove stop Hengelo'!J$13</f>
        <v>7.1759259259259259E-3</v>
      </c>
      <c r="I27" s="12">
        <f>'Remove stop Hengelo'!J$26</f>
        <v>0.66666666666666663</v>
      </c>
      <c r="J27" s="3">
        <f>'Remove stop Hengelo'!J$28</f>
        <v>2.7546296296296338E-3</v>
      </c>
      <c r="K27" s="12">
        <f>'Remove stop Hengelo'!J$31</f>
        <v>0.97435897435897434</v>
      </c>
      <c r="M27" t="s">
        <v>84</v>
      </c>
      <c r="N27" s="15">
        <f>'Remove stop Hengelo'!K$13</f>
        <v>7.8703703703703713E-3</v>
      </c>
      <c r="O27" s="12">
        <f>'Remove stop Hengelo'!K$26</f>
        <v>0.66666666666666663</v>
      </c>
      <c r="P27" s="3">
        <f>'Remove stop Hengelo'!K$28</f>
        <v>2.0601851851851831E-3</v>
      </c>
      <c r="Q27" s="12">
        <f>'Remove stop Hengelo'!K$31</f>
        <v>0.97435897435897434</v>
      </c>
    </row>
    <row r="28" spans="1:17" x14ac:dyDescent="0.3">
      <c r="A28" t="s">
        <v>86</v>
      </c>
      <c r="B28" s="15">
        <f>'Extra platform Hengelo'!I$13</f>
        <v>2.1620370370370373E-2</v>
      </c>
      <c r="C28" s="12">
        <f>'Extra platform Hengelo'!I$26</f>
        <v>0.5</v>
      </c>
      <c r="D28" s="3">
        <f>'Extra platform Hengelo'!I$28</f>
        <v>-4.0046296296296306E-3</v>
      </c>
      <c r="E28" s="12">
        <f>'Extra platform Hengelo'!I$31</f>
        <v>0.97435897435897434</v>
      </c>
      <c r="G28" t="s">
        <v>86</v>
      </c>
      <c r="H28" s="15">
        <f>'Extra platform Hengelo'!J$13</f>
        <v>8.611111111111111E-3</v>
      </c>
      <c r="I28" s="12">
        <f>'Extra platform Hengelo'!J$26</f>
        <v>0.66666666666666663</v>
      </c>
      <c r="J28" s="3">
        <f>'Extra platform Hengelo'!J$28</f>
        <v>2.7546296296296338E-3</v>
      </c>
      <c r="K28" s="12">
        <f>'Extra platform Hengelo'!J$31</f>
        <v>0.97435897435897434</v>
      </c>
      <c r="M28" t="s">
        <v>86</v>
      </c>
      <c r="N28" s="15">
        <f>'Extra platform Hengelo'!K$13</f>
        <v>9.1435185185185178E-3</v>
      </c>
      <c r="O28" s="12">
        <f>'Extra platform Hengelo'!K$26</f>
        <v>0.66666666666666663</v>
      </c>
      <c r="P28" s="3">
        <f>'Extra platform Hengelo'!K$28</f>
        <v>2.0601851851851831E-3</v>
      </c>
      <c r="Q28" s="12">
        <f>'Extra platform Hengelo'!K$31</f>
        <v>0.97435897435897434</v>
      </c>
    </row>
    <row r="29" spans="1:17" x14ac:dyDescent="0.3">
      <c r="A29" t="s">
        <v>88</v>
      </c>
      <c r="B29" s="15">
        <f>'Short-turn Hengelo'!I$13</f>
        <v>1.2314814814814815E-2</v>
      </c>
      <c r="C29" s="12">
        <f>'Short-turn Hengelo'!I$26</f>
        <v>0.83333333333333337</v>
      </c>
      <c r="D29" s="3" t="str">
        <f>'Short-turn Hengelo'!I$28</f>
        <v>N/A</v>
      </c>
      <c r="E29" s="12">
        <f>'Short-turn Hengelo'!I$31</f>
        <v>0.97435897435897434</v>
      </c>
      <c r="G29" t="s">
        <v>88</v>
      </c>
      <c r="H29" s="15">
        <f>'Short-turn Hengelo'!J$13</f>
        <v>3.0324074074074073E-3</v>
      </c>
      <c r="I29" s="12">
        <f>'Short-turn Hengelo'!J$26</f>
        <v>0.83333333333333337</v>
      </c>
      <c r="J29" s="3" t="str">
        <f>'Short-turn Hengelo'!J$28</f>
        <v>N/A</v>
      </c>
      <c r="K29" s="12">
        <f>'Short-turn Hengelo'!J$31</f>
        <v>0.97435897435897434</v>
      </c>
      <c r="M29" t="s">
        <v>88</v>
      </c>
      <c r="N29" s="15">
        <f>'Cancel Stop Hgl-Odz-Hgl'!K$13</f>
        <v>1.087962962962963E-2</v>
      </c>
      <c r="O29" s="12">
        <f>'Short-turn Hengelo'!K$26</f>
        <v>0.83333333333333337</v>
      </c>
      <c r="P29" s="3" t="str">
        <f>'Short-turn Hengelo'!K$28</f>
        <v>N/A</v>
      </c>
      <c r="Q29" s="12">
        <f>'Short-turn Hengelo'!K$31</f>
        <v>0.97435897435897434</v>
      </c>
    </row>
    <row r="30" spans="1:17" x14ac:dyDescent="0.3">
      <c r="A30" t="s">
        <v>90</v>
      </c>
      <c r="B30" s="15">
        <f>'Overtake Rijssen'!I$13</f>
        <v>1.9560185185185184E-2</v>
      </c>
      <c r="C30" s="12">
        <f>'Overtake Rijssen'!I$26</f>
        <v>0.66666666666666663</v>
      </c>
      <c r="D30" s="3">
        <f>'Overtake Rijssen'!I$28</f>
        <v>1.5740740740740732E-3</v>
      </c>
      <c r="E30" s="12">
        <f>'Overtake Rijssen'!I$31</f>
        <v>0.97435897435897434</v>
      </c>
      <c r="G30" t="s">
        <v>90</v>
      </c>
      <c r="H30" s="15">
        <f>'Overtake Rijssen'!J$13</f>
        <v>1.9560185185185184E-2</v>
      </c>
      <c r="I30" s="12">
        <f>'Overtake Rijssen'!J$26</f>
        <v>0.66666666666666663</v>
      </c>
      <c r="J30" s="3">
        <f>'Overtake Rijssen'!J$28</f>
        <v>8.7962962962963385E-4</v>
      </c>
      <c r="K30" s="12">
        <f>'Overtake Rijssen'!J$31</f>
        <v>0.97435897435897434</v>
      </c>
      <c r="M30" t="s">
        <v>90</v>
      </c>
      <c r="N30" s="15">
        <f>'Overtake Rijssen'!K$13</f>
        <v>1.9560185185185184E-2</v>
      </c>
      <c r="O30" s="12">
        <f>'Overtake Rijssen'!K$26</f>
        <v>0.66666666666666663</v>
      </c>
      <c r="P30" s="3">
        <f>'Overtake Rijssen'!K$28</f>
        <v>1.851851851851832E-4</v>
      </c>
      <c r="Q30" s="12">
        <f>'Overtake Rijssen'!K$31</f>
        <v>0.97435897435897434</v>
      </c>
    </row>
    <row r="31" spans="1:17" x14ac:dyDescent="0.3">
      <c r="A31" t="s">
        <v>92</v>
      </c>
      <c r="B31" s="15">
        <f>'Alternative ICE Paths'!I$13</f>
        <v>3.8657407407407403E-3</v>
      </c>
      <c r="C31" s="12">
        <f>'Alternative ICE Paths'!I$26</f>
        <v>1</v>
      </c>
      <c r="D31" s="3">
        <f>'Alternative ICE Paths'!I$28</f>
        <v>1.1342592592592593E-2</v>
      </c>
      <c r="E31" s="12">
        <f>'Alternative ICE Paths'!I$31</f>
        <v>0.97435897435897434</v>
      </c>
      <c r="G31" t="s">
        <v>92</v>
      </c>
      <c r="H31" s="15">
        <f>'Alternative ICE Paths'!J$13</f>
        <v>3.8657407407407403E-3</v>
      </c>
      <c r="I31" s="12">
        <f>'Alternative ICE Paths'!J$26</f>
        <v>1</v>
      </c>
      <c r="J31" s="3">
        <f>'Alternative ICE Paths'!J$28</f>
        <v>1.0648148148148153E-2</v>
      </c>
      <c r="K31" s="12">
        <f>'Alternative ICE Paths'!J$31</f>
        <v>0.97435897435897434</v>
      </c>
      <c r="M31" t="s">
        <v>92</v>
      </c>
      <c r="N31" s="15">
        <f>'Alternative ICE Paths'!K$13</f>
        <v>3.8657407407407403E-3</v>
      </c>
      <c r="O31" s="12">
        <f>'Alternative ICE Paths'!K$26</f>
        <v>1</v>
      </c>
      <c r="P31" s="3">
        <f>'Alternative ICE Paths'!K$28</f>
        <v>9.9537037037037042E-3</v>
      </c>
      <c r="Q31" s="12">
        <f>'Alternative ICE Paths'!K$31</f>
        <v>0.97435897435897434</v>
      </c>
    </row>
    <row r="32" spans="1:17" x14ac:dyDescent="0.3">
      <c r="A32" t="s">
        <v>94</v>
      </c>
      <c r="B32" s="15">
        <f>'Stop Almelo'!I$13</f>
        <v>2.1736111111111112E-2</v>
      </c>
      <c r="C32" s="12">
        <f>'Stop Almelo'!I$26</f>
        <v>0.5</v>
      </c>
      <c r="D32" s="3">
        <f>'Stop Almelo'!I$28</f>
        <v>-3.7962962962962967E-3</v>
      </c>
      <c r="E32" s="12">
        <f>'Stop Almelo'!I$31</f>
        <v>0.92307692307692313</v>
      </c>
      <c r="G32" t="s">
        <v>94</v>
      </c>
      <c r="H32" s="15">
        <f>'Stop Almelo'!J$13</f>
        <v>7.1527777777777787E-3</v>
      </c>
      <c r="I32" s="12">
        <f>'Stop Almelo'!J$26</f>
        <v>0.66666666666666663</v>
      </c>
      <c r="J32" s="3">
        <f>'Stop Almelo'!J$28</f>
        <v>2.7546296296296338E-3</v>
      </c>
      <c r="K32" s="12">
        <f>'Stop Almelo'!J$31</f>
        <v>0.97435897435897434</v>
      </c>
      <c r="M32" t="s">
        <v>94</v>
      </c>
      <c r="N32" s="15">
        <f>'Stop Almelo'!K$13</f>
        <v>7.8472222222222224E-3</v>
      </c>
      <c r="O32" s="12">
        <f>'Stop Almelo'!K$26</f>
        <v>0.66666666666666663</v>
      </c>
      <c r="P32" s="3">
        <f>'Stop Almelo'!K$28</f>
        <v>2.0601851851851831E-3</v>
      </c>
      <c r="Q32" s="12">
        <f>'Stop Almelo'!K$31</f>
        <v>0.97435897435897434</v>
      </c>
    </row>
    <row r="34" spans="1:17" x14ac:dyDescent="0.3">
      <c r="A34" s="1" t="s">
        <v>101</v>
      </c>
      <c r="B34" t="s">
        <v>72</v>
      </c>
      <c r="C34" s="14" t="s">
        <v>73</v>
      </c>
      <c r="D34" s="14" t="s">
        <v>74</v>
      </c>
      <c r="E34" t="s">
        <v>75</v>
      </c>
      <c r="G34" s="1" t="s">
        <v>102</v>
      </c>
      <c r="H34" t="s">
        <v>72</v>
      </c>
      <c r="I34" s="14" t="s">
        <v>73</v>
      </c>
      <c r="J34" s="14" t="s">
        <v>74</v>
      </c>
      <c r="K34" t="s">
        <v>75</v>
      </c>
      <c r="M34" s="1" t="s">
        <v>103</v>
      </c>
      <c r="N34" t="s">
        <v>72</v>
      </c>
      <c r="O34" s="14" t="s">
        <v>73</v>
      </c>
      <c r="P34" s="14" t="s">
        <v>74</v>
      </c>
      <c r="Q34" t="s">
        <v>75</v>
      </c>
    </row>
    <row r="35" spans="1:17" x14ac:dyDescent="0.3">
      <c r="A35" t="s">
        <v>78</v>
      </c>
      <c r="B35" s="10">
        <f>'Cancel Stop Hgl-Odz-Hgl'!L$13</f>
        <v>9.5138888888888894E-3</v>
      </c>
      <c r="C35" s="12">
        <f>'Cancel Stop Hgl-Odz-Hgl'!L$26</f>
        <v>0.83333333333333337</v>
      </c>
      <c r="D35" s="3">
        <f>'Cancel Stop Hgl-Odz-Hgl'!L$28</f>
        <v>1.3657407407407438E-3</v>
      </c>
      <c r="E35" s="12">
        <f>'Cancel Stop Hgl-Odz-Hgl'!L$31</f>
        <v>0.92307692307692313</v>
      </c>
      <c r="G35" t="s">
        <v>78</v>
      </c>
      <c r="H35" s="10">
        <f>'Cancel Stop Hgl-Odz-Hgl'!M$13</f>
        <v>1.0787037037037038E-2</v>
      </c>
      <c r="I35" s="12">
        <f>'Cancel Stop Hgl-Odz-Hgl'!M$26</f>
        <v>0.66666666666666663</v>
      </c>
      <c r="J35" s="3">
        <f>'Cancel Stop Hgl-Odz-Hgl'!M$28</f>
        <v>6.712962962962931E-4</v>
      </c>
      <c r="K35" s="12">
        <f>'Cancel Stop Hgl-Odz-Hgl'!M$31</f>
        <v>0.92307692307692313</v>
      </c>
      <c r="M35" t="s">
        <v>78</v>
      </c>
      <c r="N35" s="10">
        <f>'Cancel Stop Hgl-Odz-Hgl'!N$13</f>
        <v>1.1481481481481481E-2</v>
      </c>
      <c r="O35" s="12">
        <f>'Cancel Stop Hgl-Odz-Hgl'!N$26</f>
        <v>0.66666666666666663</v>
      </c>
      <c r="P35" s="3">
        <f>'Cancel Stop Hgl-Odz-Hgl'!N$28</f>
        <v>-2.3148148148147141E-5</v>
      </c>
      <c r="Q35" s="12">
        <f>'Cancel Stop Hgl-Odz-Hgl'!N$31</f>
        <v>0.92307692307692313</v>
      </c>
    </row>
    <row r="36" spans="1:17" x14ac:dyDescent="0.3">
      <c r="A36" s="13" t="s">
        <v>80</v>
      </c>
      <c r="B36" s="15">
        <f>'ICE Waits'!L$13</f>
        <v>9.4907407407407406E-3</v>
      </c>
      <c r="C36" s="12">
        <f>'ICE Waits'!L$26</f>
        <v>0.66666666666666663</v>
      </c>
      <c r="D36" s="3">
        <f>'ICE Waits'!L$28</f>
        <v>1.3657407407407438E-3</v>
      </c>
      <c r="E36" s="12">
        <f>'ICE Waits'!L$31</f>
        <v>0.97435897435897434</v>
      </c>
      <c r="G36" s="13" t="s">
        <v>80</v>
      </c>
      <c r="H36" s="15">
        <f>'ICE Waits'!M$13</f>
        <v>1.0185185185185186E-2</v>
      </c>
      <c r="I36" s="12">
        <f>'ICE Waits'!M$26</f>
        <v>0.66666666666666663</v>
      </c>
      <c r="J36" s="3">
        <f>'ICE Waits'!M$28</f>
        <v>6.712962962962931E-4</v>
      </c>
      <c r="K36" s="12">
        <f>'ICE Waits'!M$31</f>
        <v>0.97435897435897434</v>
      </c>
      <c r="M36" s="13" t="s">
        <v>80</v>
      </c>
      <c r="N36" s="15">
        <f>'ICE Waits'!N$13</f>
        <v>1.087962962962963E-2</v>
      </c>
      <c r="O36" s="12">
        <f>'ICE Waits'!N$26</f>
        <v>0.66666666666666663</v>
      </c>
      <c r="P36" s="3">
        <f>'ICE Waits'!N$28</f>
        <v>-2.3148148148147141E-5</v>
      </c>
      <c r="Q36" s="12">
        <f>'ICE Waits'!N$31</f>
        <v>0.97435897435897434</v>
      </c>
    </row>
    <row r="37" spans="1:17" x14ac:dyDescent="0.3">
      <c r="A37" t="s">
        <v>82</v>
      </c>
      <c r="B37" s="15">
        <f>'Stop Waits'!L$13</f>
        <v>3.1944444444444442E-2</v>
      </c>
      <c r="C37" s="12">
        <f>'Stop Waits'!L$26</f>
        <v>0.5</v>
      </c>
      <c r="D37" s="3">
        <f>'Stop Waits'!L$28</f>
        <v>1.3657407407407438E-3</v>
      </c>
      <c r="E37" s="12">
        <f>'Stop Waits'!L$31</f>
        <v>0.76923076923076916</v>
      </c>
      <c r="G37" t="s">
        <v>82</v>
      </c>
      <c r="H37" s="15">
        <f>'Stop Waits'!M$13</f>
        <v>4.342592592592593E-2</v>
      </c>
      <c r="I37" s="12">
        <f>'Stop Waits'!M$26</f>
        <v>0.5</v>
      </c>
      <c r="J37" s="3">
        <f>'Stop Waits'!M$28</f>
        <v>6.712962962962931E-4</v>
      </c>
      <c r="K37" s="12">
        <f>'Stop Waits'!M$31</f>
        <v>0.53846153846153844</v>
      </c>
      <c r="M37" t="s">
        <v>82</v>
      </c>
      <c r="N37" s="15">
        <f>'Stop Waits'!N$13</f>
        <v>2.9537037037037039E-2</v>
      </c>
      <c r="O37" s="12">
        <f>'Stop Waits'!N$26</f>
        <v>0.5</v>
      </c>
      <c r="P37" s="3">
        <f>'Stop Waits'!N$28</f>
        <v>-2.3148148148147141E-5</v>
      </c>
      <c r="Q37" s="12">
        <f>'Stop Waits'!N$31</f>
        <v>0.76923076923076916</v>
      </c>
    </row>
    <row r="38" spans="1:17" x14ac:dyDescent="0.3">
      <c r="A38" t="s">
        <v>84</v>
      </c>
      <c r="B38" s="15">
        <f>'Remove stop Hengelo'!L$13</f>
        <v>1.0949074074074075E-2</v>
      </c>
      <c r="C38" s="12">
        <f>'Remove stop Hengelo'!L$26</f>
        <v>0.66666666666666663</v>
      </c>
      <c r="D38" s="3">
        <f>'Remove stop Hengelo'!L$28</f>
        <v>1.3657407407407438E-3</v>
      </c>
      <c r="E38" s="12">
        <f>'Remove stop Hengelo'!L$31</f>
        <v>0.97435897435897434</v>
      </c>
      <c r="G38" t="s">
        <v>84</v>
      </c>
      <c r="H38" s="15">
        <f>'Remove stop Hengelo'!M$13</f>
        <v>1.1643518518518518E-2</v>
      </c>
      <c r="I38" s="12">
        <f>'Remove stop Hengelo'!M$26</f>
        <v>0.66666666666666663</v>
      </c>
      <c r="J38" s="3">
        <f>'Remove stop Hengelo'!M$28</f>
        <v>6.712962962962931E-4</v>
      </c>
      <c r="K38" s="12">
        <f>'Remove stop Hengelo'!M$31</f>
        <v>0.97435897435897434</v>
      </c>
      <c r="M38" t="s">
        <v>84</v>
      </c>
      <c r="N38" s="15">
        <f>'Remove stop Hengelo'!N$13</f>
        <v>6.2500000000000003E-3</v>
      </c>
      <c r="O38" s="12">
        <f>'Remove stop Hengelo'!N$26</f>
        <v>0.83333333333333337</v>
      </c>
      <c r="P38" s="3">
        <f>'Remove stop Hengelo'!N$28</f>
        <v>-2.3148148148147141E-5</v>
      </c>
      <c r="Q38" s="12">
        <f>'Remove stop Hengelo'!N$31</f>
        <v>0.97435897435897434</v>
      </c>
    </row>
    <row r="39" spans="1:17" x14ac:dyDescent="0.3">
      <c r="A39" t="s">
        <v>86</v>
      </c>
      <c r="B39" s="15">
        <f>'Extra platform Hengelo'!L$13</f>
        <v>1.2268518518518519E-2</v>
      </c>
      <c r="C39" s="12">
        <f>'Extra platform Hengelo'!L$26</f>
        <v>0.66666666666666663</v>
      </c>
      <c r="D39" s="3">
        <f>'Extra platform Hengelo'!L$28</f>
        <v>1.3657407407407438E-3</v>
      </c>
      <c r="E39" s="12">
        <f>'Extra platform Hengelo'!L$31</f>
        <v>0.97435897435897434</v>
      </c>
      <c r="G39" t="s">
        <v>86</v>
      </c>
      <c r="H39" s="15">
        <f>'Extra platform Hengelo'!M$13</f>
        <v>2.375E-2</v>
      </c>
      <c r="I39" s="12">
        <f>'Extra platform Hengelo'!M$26</f>
        <v>0.66666666666666663</v>
      </c>
      <c r="J39" s="3">
        <f>'Extra platform Hengelo'!M$28</f>
        <v>6.712962962962931E-4</v>
      </c>
      <c r="K39" s="12">
        <f>'Extra platform Hengelo'!M$31</f>
        <v>0.74358974358974361</v>
      </c>
      <c r="M39" t="s">
        <v>86</v>
      </c>
      <c r="N39" s="15">
        <f>'Extra platform Hengelo'!N$13</f>
        <v>9.8611111111111122E-3</v>
      </c>
      <c r="O39" s="12">
        <f>'Extra platform Hengelo'!N$26</f>
        <v>0.66666666666666663</v>
      </c>
      <c r="P39" s="3">
        <f>'Extra platform Hengelo'!N$28</f>
        <v>-2.3148148148147141E-5</v>
      </c>
      <c r="Q39" s="12">
        <f>'Extra platform Hengelo'!N$31</f>
        <v>0.97435897435897434</v>
      </c>
    </row>
    <row r="40" spans="1:17" x14ac:dyDescent="0.3">
      <c r="A40" t="s">
        <v>88</v>
      </c>
      <c r="B40" s="15">
        <f>'Short-turn Hengelo'!L$13</f>
        <v>1.2314814814814815E-2</v>
      </c>
      <c r="C40" s="12">
        <f>'Short-turn Hengelo'!L$26</f>
        <v>0.83333333333333337</v>
      </c>
      <c r="D40" s="3" t="str">
        <f>'Short-turn Hengelo'!L$28</f>
        <v>N/A</v>
      </c>
      <c r="E40" s="12">
        <f>'Short-turn Hengelo'!L$31</f>
        <v>0.97435897435897434</v>
      </c>
      <c r="G40" t="s">
        <v>88</v>
      </c>
      <c r="H40" s="15">
        <f>'Short-turn Hengelo'!M$13</f>
        <v>1.2314814814814815E-2</v>
      </c>
      <c r="I40" s="12">
        <f>'Short-turn Hengelo'!M$26</f>
        <v>0.83333333333333337</v>
      </c>
      <c r="J40" s="3" t="str">
        <f>'Short-turn Hengelo'!M$28</f>
        <v>N/A</v>
      </c>
      <c r="K40" s="12">
        <f>'Short-turn Hengelo'!M$31</f>
        <v>0.97435897435897434</v>
      </c>
      <c r="M40" t="s">
        <v>88</v>
      </c>
      <c r="N40" s="15">
        <f>'Short-turn Hengelo'!N$13</f>
        <v>1.2314814814814815E-2</v>
      </c>
      <c r="O40" s="12">
        <f>'Short-turn Hengelo'!N$26</f>
        <v>0.83333333333333337</v>
      </c>
      <c r="P40" s="3" t="str">
        <f>'Short-turn Hengelo'!N$28</f>
        <v>N/A</v>
      </c>
      <c r="Q40" s="12">
        <f>'Short-turn Hengelo'!N$31</f>
        <v>0.97435897435897434</v>
      </c>
    </row>
    <row r="41" spans="1:17" x14ac:dyDescent="0.3">
      <c r="A41" t="s">
        <v>90</v>
      </c>
      <c r="B41" s="15">
        <f>'Overtake Rijssen'!L$13</f>
        <v>1.9467592592592592E-2</v>
      </c>
      <c r="C41" s="12">
        <f>'Overtake Rijssen'!L$26</f>
        <v>0.66666666666666663</v>
      </c>
      <c r="D41" s="3">
        <f>'Overtake Rijssen'!L$28</f>
        <v>-5.0925925925925618E-4</v>
      </c>
      <c r="E41" s="12">
        <f>'Overtake Rijssen'!L$31</f>
        <v>0.97435897435897434</v>
      </c>
      <c r="G41" t="s">
        <v>90</v>
      </c>
      <c r="H41" s="15">
        <f>'Overtake Rijssen'!M$13</f>
        <v>2.0023148148148148E-2</v>
      </c>
      <c r="I41" s="12">
        <f>'Overtake Rijssen'!M$26</f>
        <v>0.5</v>
      </c>
      <c r="J41" s="3">
        <f>'Overtake Rijssen'!M$28</f>
        <v>-1.2037037037037068E-3</v>
      </c>
      <c r="K41" s="12">
        <f>'Overtake Rijssen'!M$31</f>
        <v>0.97435897435897434</v>
      </c>
      <c r="M41" t="s">
        <v>90</v>
      </c>
      <c r="N41" s="15">
        <f>'Overtake Rijssen'!N$13</f>
        <v>2.0578703703703703E-2</v>
      </c>
      <c r="O41" s="12">
        <f>'Overtake Rijssen'!N$26</f>
        <v>0.5</v>
      </c>
      <c r="P41" s="3">
        <f>'Overtake Rijssen'!N$28</f>
        <v>-1.8981481481481471E-3</v>
      </c>
      <c r="Q41" s="12">
        <f>'Overtake Rijssen'!N$31</f>
        <v>0.97435897435897434</v>
      </c>
    </row>
    <row r="42" spans="1:17" x14ac:dyDescent="0.3">
      <c r="A42" t="s">
        <v>92</v>
      </c>
      <c r="B42" s="15">
        <f>'Alternative ICE Paths'!L$13</f>
        <v>3.8657407407407403E-3</v>
      </c>
      <c r="C42" s="12">
        <f>'Alternative ICE Paths'!L$26</f>
        <v>1</v>
      </c>
      <c r="D42" s="3">
        <f>'Alternative ICE Paths'!L$28</f>
        <v>9.2592592592592639E-3</v>
      </c>
      <c r="E42" s="12">
        <f>'Alternative ICE Paths'!L$31</f>
        <v>0.97435897435897434</v>
      </c>
      <c r="G42" t="s">
        <v>92</v>
      </c>
      <c r="H42" s="15">
        <f>'Alternative ICE Paths'!M$13</f>
        <v>3.8657407407407403E-3</v>
      </c>
      <c r="I42" s="12">
        <f>'Alternative ICE Paths'!M$26</f>
        <v>1</v>
      </c>
      <c r="J42" s="3">
        <f>'Alternative ICE Paths'!M$28</f>
        <v>8.5648148148148133E-3</v>
      </c>
      <c r="K42" s="12">
        <f>'Alternative ICE Paths'!M$31</f>
        <v>0.97435897435897434</v>
      </c>
      <c r="M42" t="s">
        <v>92</v>
      </c>
      <c r="N42" s="15">
        <f>'Alternative ICE Paths'!N$13</f>
        <v>3.8657407407407403E-3</v>
      </c>
      <c r="O42" s="12">
        <f>'Alternative ICE Paths'!N$26</f>
        <v>1</v>
      </c>
      <c r="P42" s="3">
        <f>'Alternative ICE Paths'!N$28</f>
        <v>7.8703703703703731E-3</v>
      </c>
      <c r="Q42" s="12">
        <f>'Alternative ICE Paths'!N$31</f>
        <v>0.97435897435897434</v>
      </c>
    </row>
    <row r="43" spans="1:17" x14ac:dyDescent="0.3">
      <c r="A43" t="s">
        <v>94</v>
      </c>
      <c r="B43" s="15">
        <f>'Stop Almelo'!L$13</f>
        <v>1.0925925925925926E-2</v>
      </c>
      <c r="C43" s="12">
        <f>'Stop Almelo'!L$26</f>
        <v>0.66666666666666663</v>
      </c>
      <c r="D43" s="3">
        <f>'Stop Almelo'!L$28</f>
        <v>1.3657407407407438E-3</v>
      </c>
      <c r="E43" s="12">
        <f>'Stop Almelo'!L$31</f>
        <v>0.97435897435897434</v>
      </c>
      <c r="G43" t="s">
        <v>94</v>
      </c>
      <c r="H43" s="15">
        <f>'Stop Almelo'!M$13</f>
        <v>1.1620370370370371E-2</v>
      </c>
      <c r="I43" s="12">
        <f>'Stop Almelo'!M$26</f>
        <v>0.66666666666666663</v>
      </c>
      <c r="J43" s="3">
        <f>'Stop Almelo'!M$28</f>
        <v>6.712962962962931E-4</v>
      </c>
      <c r="K43" s="12">
        <f>'Stop Almelo'!M$31</f>
        <v>0.97435897435897434</v>
      </c>
      <c r="M43" t="s">
        <v>94</v>
      </c>
      <c r="N43" s="15">
        <f>'Stop Almelo'!N$13</f>
        <v>1.0162037037037037E-2</v>
      </c>
      <c r="O43" s="12">
        <f>'Stop Almelo'!N$26</f>
        <v>0.66666666666666663</v>
      </c>
      <c r="P43" s="3">
        <f>'Stop Almelo'!N$28</f>
        <v>-2.3148148148147141E-5</v>
      </c>
      <c r="Q43" s="12">
        <f>'Stop Almelo'!N$31</f>
        <v>0.97435897435897434</v>
      </c>
    </row>
    <row r="45" spans="1:17" x14ac:dyDescent="0.3">
      <c r="A45" s="1" t="s">
        <v>104</v>
      </c>
      <c r="B45" t="s">
        <v>72</v>
      </c>
      <c r="C45" s="14" t="s">
        <v>73</v>
      </c>
      <c r="D45" s="14" t="s">
        <v>74</v>
      </c>
      <c r="E45" t="s">
        <v>75</v>
      </c>
      <c r="G45" s="1" t="s">
        <v>105</v>
      </c>
      <c r="H45" t="s">
        <v>72</v>
      </c>
      <c r="I45" s="14" t="s">
        <v>73</v>
      </c>
      <c r="J45" s="14" t="s">
        <v>74</v>
      </c>
      <c r="K45" t="s">
        <v>75</v>
      </c>
      <c r="M45" s="1" t="s">
        <v>106</v>
      </c>
      <c r="N45" t="s">
        <v>72</v>
      </c>
      <c r="O45" s="14" t="s">
        <v>73</v>
      </c>
      <c r="P45" s="14" t="s">
        <v>74</v>
      </c>
      <c r="Q45" t="s">
        <v>75</v>
      </c>
    </row>
    <row r="46" spans="1:17" x14ac:dyDescent="0.3">
      <c r="A46" t="s">
        <v>78</v>
      </c>
      <c r="B46" s="10">
        <f>'Cancel Stop Hgl-Odz-Hgl'!O$13</f>
        <v>1.2175925925925927E-2</v>
      </c>
      <c r="C46" s="12">
        <f>'Cancel Stop Hgl-Odz-Hgl'!O$26</f>
        <v>0.66666666666666663</v>
      </c>
      <c r="D46" s="3">
        <f>'Cancel Stop Hgl-Odz-Hgl'!O$28</f>
        <v>-7.1759259259262728E-4</v>
      </c>
      <c r="E46" s="12">
        <f>'Cancel Stop Hgl-Odz-Hgl'!O$31</f>
        <v>0.92307692307692313</v>
      </c>
      <c r="G46" t="s">
        <v>78</v>
      </c>
      <c r="H46" s="10">
        <f>'Cancel Stop Hgl-Odz-Hgl'!P$13</f>
        <v>5.4861111111111109E-3</v>
      </c>
      <c r="I46" s="12">
        <f>'Cancel Stop Hgl-Odz-Hgl'!P$26</f>
        <v>1</v>
      </c>
      <c r="J46" s="3">
        <f>'Cancel Stop Hgl-Odz-Hgl'!P$28</f>
        <v>3.7037037037037056E-3</v>
      </c>
      <c r="K46" s="12">
        <f>'Cancel Stop Hgl-Odz-Hgl'!P$31</f>
        <v>0.92307692307692313</v>
      </c>
      <c r="M46" t="s">
        <v>78</v>
      </c>
      <c r="N46" s="10">
        <f>'Cancel Stop Hgl-Odz-Hgl'!Q$13</f>
        <v>5.4861111111111109E-3</v>
      </c>
      <c r="O46" s="12">
        <f>'Cancel Stop Hgl-Odz-Hgl'!Q$26</f>
        <v>1</v>
      </c>
      <c r="P46" s="3">
        <f>'Cancel Stop Hgl-Odz-Hgl'!Q$28</f>
        <v>2.3148148148148182E-4</v>
      </c>
      <c r="Q46" s="12">
        <f>'Cancel Stop Hgl-Odz-Hgl'!Q$31</f>
        <v>0.92307692307692313</v>
      </c>
    </row>
    <row r="47" spans="1:17" x14ac:dyDescent="0.3">
      <c r="A47" s="13" t="s">
        <v>80</v>
      </c>
      <c r="B47" s="15">
        <f>'ICE Waits'!O$13</f>
        <v>1.2314814814814815E-2</v>
      </c>
      <c r="C47" s="12">
        <f>'ICE Waits'!O$26</f>
        <v>0.83333333333333337</v>
      </c>
      <c r="D47" s="3">
        <f>'ICE Waits'!O$28</f>
        <v>-8.7962962962966421E-4</v>
      </c>
      <c r="E47" s="12">
        <f>'ICE Waits'!O$31</f>
        <v>0.97435897435897434</v>
      </c>
      <c r="G47" s="13" t="s">
        <v>80</v>
      </c>
      <c r="H47" s="15">
        <f>'ICE Waits'!P$13</f>
        <v>3.8657407407407403E-3</v>
      </c>
      <c r="I47" s="12">
        <f>'ICE Waits'!P$26</f>
        <v>1</v>
      </c>
      <c r="J47" s="3">
        <f>'ICE Waits'!P$28</f>
        <v>3.7037037037037056E-3</v>
      </c>
      <c r="K47" s="12">
        <f>'ICE Waits'!P$31</f>
        <v>0.97435897435897434</v>
      </c>
      <c r="M47" s="13" t="s">
        <v>80</v>
      </c>
      <c r="N47" s="15">
        <f>'ICE Waits'!Q$13</f>
        <v>3.8657407407407403E-3</v>
      </c>
      <c r="O47" s="12">
        <f>'ICE Waits'!Q$26</f>
        <v>1</v>
      </c>
      <c r="P47" s="3">
        <f>'ICE Waits'!Q$28</f>
        <v>2.3148148148148182E-4</v>
      </c>
      <c r="Q47" s="12">
        <f>'ICE Waits'!Q$31</f>
        <v>0.97435897435897434</v>
      </c>
    </row>
    <row r="48" spans="1:17" x14ac:dyDescent="0.3">
      <c r="A48" t="s">
        <v>82</v>
      </c>
      <c r="B48" s="15">
        <f>'Stop Waits'!O$13</f>
        <v>2.4351851851851854E-2</v>
      </c>
      <c r="C48" s="12">
        <f>'Stop Waits'!O$26</f>
        <v>0.66666666666666663</v>
      </c>
      <c r="D48" s="3">
        <f>'Stop Waits'!O$28</f>
        <v>-7.1759259259262728E-4</v>
      </c>
      <c r="E48" s="12">
        <f>'Stop Waits'!O$31</f>
        <v>0.76923076923076916</v>
      </c>
      <c r="G48" t="s">
        <v>82</v>
      </c>
      <c r="H48" s="15">
        <f>'Stop Waits'!P$13</f>
        <v>2.3541666666666669E-2</v>
      </c>
      <c r="I48" s="12">
        <f>'Stop Waits'!P$26</f>
        <v>0.83333333333333337</v>
      </c>
      <c r="J48" s="3">
        <f>'Stop Waits'!P$28</f>
        <v>3.7037037037037056E-3</v>
      </c>
      <c r="K48" s="12">
        <f>'Stop Waits'!P$31</f>
        <v>0.76923076923076916</v>
      </c>
      <c r="M48" t="s">
        <v>82</v>
      </c>
      <c r="N48" s="15">
        <f>'Stop Waits'!Q$13</f>
        <v>2.3541666666666669E-2</v>
      </c>
      <c r="O48" s="12">
        <f>'Stop Waits'!Q$26</f>
        <v>0.83333333333333337</v>
      </c>
      <c r="P48" s="3">
        <f>'Stop Waits'!Q$28</f>
        <v>2.3148148148148182E-4</v>
      </c>
      <c r="Q48" s="12">
        <f>'Stop Waits'!Q$31</f>
        <v>0.76923076923076916</v>
      </c>
    </row>
    <row r="49" spans="1:18" x14ac:dyDescent="0.3">
      <c r="A49" t="s">
        <v>84</v>
      </c>
      <c r="B49" s="15">
        <f>'Remove stop Hengelo'!O$13</f>
        <v>6.851851851851852E-3</v>
      </c>
      <c r="C49" s="12">
        <f>'Remove stop Hengelo'!O$26</f>
        <v>0.66666666666666663</v>
      </c>
      <c r="D49" s="3">
        <f>'Remove stop Hengelo'!O$28</f>
        <v>-7.1759259259262728E-4</v>
      </c>
      <c r="E49" s="12">
        <f>'Remove stop Hengelo'!O$31</f>
        <v>0.97435897435897434</v>
      </c>
      <c r="G49" t="s">
        <v>84</v>
      </c>
      <c r="H49" s="15">
        <f>'Remove stop Hengelo'!P$13</f>
        <v>8.518518518518519E-3</v>
      </c>
      <c r="I49" s="12">
        <f>'Remove stop Hengelo'!P$26</f>
        <v>0.83333333333333337</v>
      </c>
      <c r="J49" s="3">
        <f>'Remove stop Hengelo'!P$28</f>
        <v>-2.4537037037037027E-3</v>
      </c>
      <c r="K49" s="12">
        <f>'Remove stop Hengelo'!P$31</f>
        <v>0.97435897435897434</v>
      </c>
      <c r="M49" t="s">
        <v>84</v>
      </c>
      <c r="N49" s="15">
        <f>'Remove stop Hengelo'!Q$13</f>
        <v>3.8657407407407403E-3</v>
      </c>
      <c r="O49" s="12">
        <f>'Remove stop Hengelo'!Q$26</f>
        <v>1</v>
      </c>
      <c r="P49" s="3">
        <f>'Remove stop Hengelo'!Q$28</f>
        <v>2.3148148148148182E-4</v>
      </c>
      <c r="Q49" s="12">
        <f>'Remove stop Hengelo'!Q$31</f>
        <v>0.97435897435897434</v>
      </c>
    </row>
    <row r="50" spans="1:18" x14ac:dyDescent="0.3">
      <c r="A50" t="s">
        <v>86</v>
      </c>
      <c r="B50" s="15">
        <f>'Extra platform Hengelo'!O$13</f>
        <v>4.6759259259259263E-3</v>
      </c>
      <c r="C50" s="12">
        <f>'Extra platform Hengelo'!O$26</f>
        <v>0.83333333333333337</v>
      </c>
      <c r="D50" s="3">
        <f>'Extra platform Hengelo'!O$28</f>
        <v>-7.1759259259262728E-4</v>
      </c>
      <c r="E50" s="12">
        <f>'Extra platform Hengelo'!O$31</f>
        <v>0.97435897435897434</v>
      </c>
      <c r="G50" t="s">
        <v>86</v>
      </c>
      <c r="H50" s="15">
        <f>'Extra platform Hengelo'!P$13</f>
        <v>3.8657407407407403E-3</v>
      </c>
      <c r="I50" s="12">
        <f>'Extra platform Hengelo'!P$26</f>
        <v>1</v>
      </c>
      <c r="J50" s="3">
        <f>'Extra platform Hengelo'!P$28</f>
        <v>3.7037037037037056E-3</v>
      </c>
      <c r="K50" s="12">
        <f>'Extra platform Hengelo'!P$31</f>
        <v>0.97435897435897434</v>
      </c>
      <c r="M50" t="s">
        <v>86</v>
      </c>
      <c r="N50" s="15">
        <f>'Extra platform Hengelo'!Q$13</f>
        <v>3.8657407407407403E-3</v>
      </c>
      <c r="O50" s="12">
        <f>'Extra platform Hengelo'!Q$26</f>
        <v>1</v>
      </c>
      <c r="P50" s="3">
        <f>'Extra platform Hengelo'!Q$28</f>
        <v>2.3148148148148182E-4</v>
      </c>
      <c r="Q50" s="12">
        <f>'Extra platform Hengelo'!Q$31</f>
        <v>0.97435897435897434</v>
      </c>
    </row>
    <row r="51" spans="1:18" x14ac:dyDescent="0.3">
      <c r="A51" t="s">
        <v>88</v>
      </c>
      <c r="B51" s="15">
        <f>'Short-turn Hengelo'!O$13</f>
        <v>1.2314814814814815E-2</v>
      </c>
      <c r="C51" s="12">
        <f>'Short-turn Hengelo'!O$26</f>
        <v>0.83333333333333337</v>
      </c>
      <c r="D51" s="3" t="str">
        <f>'Short-turn Hengelo'!O$28</f>
        <v>N/A</v>
      </c>
      <c r="E51" s="12">
        <f>'Short-turn Hengelo'!O$31</f>
        <v>0.97435897435897434</v>
      </c>
      <c r="G51" t="s">
        <v>88</v>
      </c>
      <c r="H51" s="15">
        <f>'Short-turn Hengelo'!P$13</f>
        <v>3.8657407407407403E-3</v>
      </c>
      <c r="I51" s="12">
        <f>'Short-turn Hengelo'!P$26</f>
        <v>1</v>
      </c>
      <c r="J51" s="3" t="str">
        <f>'Short-turn Hengelo'!P$28</f>
        <v>N/A</v>
      </c>
      <c r="K51" s="12">
        <f>'Short-turn Hengelo'!P$31</f>
        <v>0.97435897435897434</v>
      </c>
      <c r="M51" t="s">
        <v>88</v>
      </c>
      <c r="N51" s="15">
        <f>'Short-turn Hengelo'!Q$13</f>
        <v>3.8657407407407403E-3</v>
      </c>
      <c r="O51" s="12">
        <f>'Short-turn Hengelo'!Q$26</f>
        <v>1</v>
      </c>
      <c r="P51" s="3" t="str">
        <f>'Short-turn Hengelo'!Q$28</f>
        <v>N/A</v>
      </c>
      <c r="Q51" s="12">
        <f>'Short-turn Hengelo'!Q$31</f>
        <v>0.97435897435897434</v>
      </c>
    </row>
    <row r="52" spans="1:18" x14ac:dyDescent="0.3">
      <c r="A52" t="s">
        <v>90</v>
      </c>
      <c r="B52" s="15">
        <f>'Overtake Rijssen'!O$13</f>
        <v>2.1736111111111112E-2</v>
      </c>
      <c r="C52" s="12">
        <f>'Overtake Rijssen'!O$26</f>
        <v>0.5</v>
      </c>
      <c r="D52" s="3">
        <f>'Overtake Rijssen'!O$28</f>
        <v>-2.5925925925926272E-3</v>
      </c>
      <c r="E52" s="12">
        <f>'Overtake Rijssen'!O$31</f>
        <v>0.97435897435897434</v>
      </c>
      <c r="G52" t="s">
        <v>90</v>
      </c>
      <c r="H52" s="15">
        <f>'Overtake Rijssen'!P$13</f>
        <v>1.5787037037037037E-2</v>
      </c>
      <c r="I52" s="12">
        <f>'Overtake Rijssen'!P$26</f>
        <v>0.83333333333333337</v>
      </c>
      <c r="J52" s="3">
        <f>'Overtake Rijssen'!P$28</f>
        <v>3.5879629629629629E-3</v>
      </c>
      <c r="K52" s="12">
        <f>'Overtake Rijssen'!P$31</f>
        <v>0.94871794871794868</v>
      </c>
      <c r="M52" t="s">
        <v>90</v>
      </c>
      <c r="N52" s="15">
        <f>'Overtake Rijssen'!Q$13</f>
        <v>2.3541666666666666E-2</v>
      </c>
      <c r="O52" s="12">
        <f>'Overtake Rijssen'!Q$26</f>
        <v>0.83333333333333337</v>
      </c>
      <c r="P52" s="3">
        <f>'Overtake Rijssen'!Q$28</f>
        <v>8.7962962962962951E-4</v>
      </c>
      <c r="Q52" s="12">
        <f>'Overtake Rijssen'!Q$31</f>
        <v>0.92307692307692313</v>
      </c>
    </row>
    <row r="53" spans="1:18" x14ac:dyDescent="0.3">
      <c r="A53" t="s">
        <v>92</v>
      </c>
      <c r="B53" s="15">
        <f>'Alternative ICE Paths'!O$13</f>
        <v>3.8657407407407403E-3</v>
      </c>
      <c r="C53" s="12">
        <f>'Alternative ICE Paths'!O$26</f>
        <v>1</v>
      </c>
      <c r="D53" s="3">
        <f>'Alternative ICE Paths'!O$28</f>
        <v>7.1759259259258929E-3</v>
      </c>
      <c r="E53" s="12">
        <f>'Alternative ICE Paths'!O$31</f>
        <v>0.97435897435897434</v>
      </c>
      <c r="G53" t="s">
        <v>92</v>
      </c>
      <c r="H53" s="15">
        <f>'Alternative ICE Paths'!P$13</f>
        <v>3.8657407407407403E-3</v>
      </c>
      <c r="I53" s="12">
        <f>'Alternative ICE Paths'!P$26</f>
        <v>1</v>
      </c>
      <c r="J53" s="3">
        <f>'Alternative ICE Paths'!P$28</f>
        <v>3.7037037037037056E-3</v>
      </c>
      <c r="K53" s="12">
        <f>'Alternative ICE Paths'!P$31</f>
        <v>0.97435897435897434</v>
      </c>
      <c r="M53" t="s">
        <v>92</v>
      </c>
      <c r="N53" s="15">
        <f>'Alternative ICE Paths'!Q$13</f>
        <v>3.8657407407407403E-3</v>
      </c>
      <c r="O53" s="12">
        <f>'Alternative ICE Paths'!Q$26</f>
        <v>1</v>
      </c>
      <c r="P53" s="3">
        <f>'Alternative ICE Paths'!Q$28</f>
        <v>2.3148148148148182E-4</v>
      </c>
      <c r="Q53" s="12">
        <f>'Alternative ICE Paths'!Q$31</f>
        <v>0.97435897435897434</v>
      </c>
    </row>
    <row r="54" spans="1:18" x14ac:dyDescent="0.3">
      <c r="A54" t="s">
        <v>94</v>
      </c>
      <c r="B54" s="15">
        <f>'Stop Almelo'!O$13</f>
        <v>1.0763888888888889E-2</v>
      </c>
      <c r="C54" s="12">
        <f>'Stop Almelo'!O$26</f>
        <v>0.66666666666666663</v>
      </c>
      <c r="D54" s="3">
        <f>'Stop Almelo'!O$28</f>
        <v>-7.1759259259262728E-4</v>
      </c>
      <c r="E54" s="12">
        <f>'Stop Almelo'!O$31</f>
        <v>0.97435897435897434</v>
      </c>
      <c r="G54" t="s">
        <v>94</v>
      </c>
      <c r="H54" s="15">
        <f>'Stop Almelo'!P$13</f>
        <v>8.425925925925927E-3</v>
      </c>
      <c r="I54" s="12">
        <f>'Stop Almelo'!P$26</f>
        <v>0.83333333333333337</v>
      </c>
      <c r="J54" s="3">
        <f>'Stop Almelo'!P$28</f>
        <v>-2.5694444444444436E-3</v>
      </c>
      <c r="K54" s="12">
        <f>'Stop Almelo'!P$31</f>
        <v>0.97435897435897434</v>
      </c>
      <c r="M54" t="s">
        <v>94</v>
      </c>
      <c r="N54" s="15">
        <f>'Stop Almelo'!Q$13</f>
        <v>3.8657407407407403E-3</v>
      </c>
      <c r="O54" s="12">
        <f>'Stop Almelo'!Q$26</f>
        <v>1</v>
      </c>
      <c r="P54" s="3">
        <f>'Stop Almelo'!Q$28</f>
        <v>2.3148148148148182E-4</v>
      </c>
      <c r="Q54" s="12">
        <f>'Stop Almelo'!Q$31</f>
        <v>0.97435897435897434</v>
      </c>
    </row>
    <row r="56" spans="1:18" x14ac:dyDescent="0.3">
      <c r="A56" s="1" t="s">
        <v>107</v>
      </c>
      <c r="B56" t="s">
        <v>72</v>
      </c>
      <c r="C56" s="14" t="s">
        <v>73</v>
      </c>
      <c r="D56" s="14" t="s">
        <v>74</v>
      </c>
      <c r="E56" t="s">
        <v>75</v>
      </c>
      <c r="F56" t="s">
        <v>108</v>
      </c>
      <c r="G56" t="s">
        <v>109</v>
      </c>
      <c r="H56" t="s">
        <v>110</v>
      </c>
      <c r="K56" t="s">
        <v>111</v>
      </c>
      <c r="L56" t="s">
        <v>69</v>
      </c>
      <c r="M56" t="s">
        <v>68</v>
      </c>
      <c r="N56" t="s">
        <v>70</v>
      </c>
      <c r="O56" t="s">
        <v>67</v>
      </c>
      <c r="P56" t="s">
        <v>112</v>
      </c>
      <c r="Q56" t="s">
        <v>113</v>
      </c>
      <c r="R56" t="s">
        <v>114</v>
      </c>
    </row>
    <row r="57" spans="1:18" x14ac:dyDescent="0.3">
      <c r="A57" s="1" t="s">
        <v>115</v>
      </c>
      <c r="B57" s="3">
        <f>SUM(BASE!C13:Q13)</f>
        <v>0.12625</v>
      </c>
      <c r="C57" s="12">
        <f>AVERAGE(BASE!C26:Q26)</f>
        <v>0.78888888888888886</v>
      </c>
      <c r="D57" s="3">
        <f>AVERAGE(BASE!C28:Q28)</f>
        <v>1.3317901234567884E-3</v>
      </c>
      <c r="E57" s="12">
        <f>AVERAGE(BASE!C40:Q40)</f>
        <v>0.94700854700854709</v>
      </c>
      <c r="F57">
        <v>0</v>
      </c>
      <c r="G57">
        <v>0</v>
      </c>
      <c r="H57" s="11">
        <v>3.472222222222222E-3</v>
      </c>
      <c r="J57" t="s">
        <v>116</v>
      </c>
      <c r="K57" s="3">
        <v>0</v>
      </c>
      <c r="L57" s="25">
        <f>-3 / 1440</f>
        <v>-2.0833333333333333E-3</v>
      </c>
      <c r="M57" s="33">
        <v>0</v>
      </c>
      <c r="N57" s="33">
        <v>0</v>
      </c>
      <c r="O57" s="3">
        <f>0/1440</f>
        <v>0</v>
      </c>
      <c r="P57" s="34">
        <v>0</v>
      </c>
      <c r="Q57" s="34">
        <v>0</v>
      </c>
      <c r="R57" s="34">
        <v>0</v>
      </c>
    </row>
    <row r="58" spans="1:18" x14ac:dyDescent="0.3">
      <c r="A58" t="s">
        <v>78</v>
      </c>
      <c r="B58" s="10">
        <f t="shared" ref="B58:B66" si="0">B2+H2+N2+B13+H13+N13+B24+H24+N24+B35+H35+N35+B46+H46+N46</f>
        <v>0.18909722222222222</v>
      </c>
      <c r="C58" s="12">
        <f>AVERAGE(C2,I2,O2,C13,I13,O13,C24,I24,O24,C35,I35,O35,C46,I46,O46)</f>
        <v>0.68888888888888888</v>
      </c>
      <c r="D58" s="3">
        <f>AVERAGE(D2,J2,P2,D13,J13,P13,D24,J24,P24,D35,J35,P35,D46,J46,P46)</f>
        <v>-9.2592592592592748E-4</v>
      </c>
      <c r="E58" s="12">
        <f>AVERAGE(E2,K2,Q2,E13,K13,Q13,E24,K24,Q24,E35,K35,Q35,E46,K46,Q46)</f>
        <v>0.88205128205128225</v>
      </c>
      <c r="F58">
        <v>0</v>
      </c>
      <c r="G58">
        <v>4</v>
      </c>
      <c r="H58" s="3">
        <v>6.2500000000000003E-3</v>
      </c>
      <c r="J58" t="s">
        <v>117</v>
      </c>
      <c r="K58" s="3">
        <v>1.2500000000000001E-2</v>
      </c>
      <c r="L58" s="25">
        <f>-4 / 1440</f>
        <v>-2.7777777777777779E-3</v>
      </c>
      <c r="M58" s="33">
        <v>1</v>
      </c>
      <c r="N58" s="33">
        <v>1</v>
      </c>
      <c r="O58" s="3">
        <f>60/1440</f>
        <v>4.1666666666666664E-2</v>
      </c>
      <c r="P58" s="34">
        <v>12</v>
      </c>
      <c r="Q58" s="34">
        <v>12</v>
      </c>
      <c r="R58" s="34">
        <v>5</v>
      </c>
    </row>
    <row r="59" spans="1:18" x14ac:dyDescent="0.3">
      <c r="A59" s="13" t="s">
        <v>80</v>
      </c>
      <c r="B59" s="15">
        <f t="shared" si="0"/>
        <v>0.14324074074074075</v>
      </c>
      <c r="C59" s="12">
        <f t="shared" ref="C59:C66" si="1">AVERAGE(C3,I3,O3,C14,I14,O14,C25,I25,O25,C36,I36,O36,C47,I47,O47)</f>
        <v>0.74444444444444458</v>
      </c>
      <c r="D59" s="3">
        <f t="shared" ref="D59:D66" si="2">AVERAGE(D3,J3,P3,D14,J14,P14,D25,J25,P25,D36,J36,P36,D47,J47,P47)</f>
        <v>1.3333333333333316E-3</v>
      </c>
      <c r="E59" s="12">
        <f t="shared" ref="E59:E66" si="3">AVERAGE(E3,K3,Q3,E14,K14,Q14,E25,K25,Q25,E36,K36,Q36,E47,K47,Q47)</f>
        <v>0.93675213675213675</v>
      </c>
      <c r="F59">
        <v>0</v>
      </c>
      <c r="G59">
        <v>0</v>
      </c>
      <c r="H59" s="3">
        <v>3.472222222222222E-3</v>
      </c>
      <c r="L59" s="25">
        <f>-5 / 1440</f>
        <v>-3.472222222222222E-3</v>
      </c>
      <c r="O59" s="11">
        <f>900/1440</f>
        <v>0.625</v>
      </c>
    </row>
    <row r="60" spans="1:18" x14ac:dyDescent="0.3">
      <c r="A60" t="s">
        <v>82</v>
      </c>
      <c r="B60" s="15">
        <f>B4+H4+N4+B15+H15+N15+B26+H26+N26+B37+H37+N37+B48+H48+N48</f>
        <v>0.33805555555555561</v>
      </c>
      <c r="C60" s="12">
        <f t="shared" si="1"/>
        <v>0.53333333333333333</v>
      </c>
      <c r="D60" s="3">
        <f t="shared" si="2"/>
        <v>-8.9506172839506329E-4</v>
      </c>
      <c r="E60" s="12">
        <f t="shared" si="3"/>
        <v>0.7760683760683762</v>
      </c>
      <c r="F60">
        <v>0</v>
      </c>
      <c r="G60">
        <v>0</v>
      </c>
      <c r="H60" s="3">
        <v>6.2500000000000003E-3</v>
      </c>
      <c r="L60" s="25">
        <f>-6 / 1440</f>
        <v>-4.1666666666666666E-3</v>
      </c>
      <c r="M60" s="3">
        <f>-11 / 1440</f>
        <v>-7.6388888888888886E-3</v>
      </c>
    </row>
    <row r="61" spans="1:18" x14ac:dyDescent="0.3">
      <c r="A61" t="s">
        <v>84</v>
      </c>
      <c r="B61" s="15">
        <f t="shared" si="0"/>
        <v>0.13738425925925929</v>
      </c>
      <c r="C61" s="12">
        <f t="shared" si="1"/>
        <v>0.72222222222222221</v>
      </c>
      <c r="D61" s="3">
        <f t="shared" si="2"/>
        <v>-1.5648148148148164E-3</v>
      </c>
      <c r="E61" s="12">
        <f t="shared" si="3"/>
        <v>0.91111111111111109</v>
      </c>
      <c r="F61">
        <v>1</v>
      </c>
      <c r="G61">
        <v>0</v>
      </c>
      <c r="H61" s="3">
        <v>6.2500000000000003E-3</v>
      </c>
      <c r="L61" s="25">
        <f>-7 / 1440</f>
        <v>-4.8611111111111112E-3</v>
      </c>
      <c r="M61" s="3">
        <f>-12 / 1440</f>
        <v>-8.3333333333333332E-3</v>
      </c>
    </row>
    <row r="62" spans="1:18" x14ac:dyDescent="0.3">
      <c r="A62" t="s">
        <v>86</v>
      </c>
      <c r="B62" s="15">
        <f t="shared" si="0"/>
        <v>0.1799074074074074</v>
      </c>
      <c r="C62" s="12">
        <f t="shared" si="1"/>
        <v>0.66666666666666674</v>
      </c>
      <c r="D62" s="3">
        <f t="shared" si="2"/>
        <v>-8.4104938271605098E-4</v>
      </c>
      <c r="E62" s="12">
        <f t="shared" si="3"/>
        <v>0.91965811965811972</v>
      </c>
      <c r="F62">
        <v>0</v>
      </c>
      <c r="G62">
        <v>0</v>
      </c>
      <c r="H62" s="3">
        <v>6.2500000000000003E-3</v>
      </c>
      <c r="L62" s="25">
        <f>-8 / 1440</f>
        <v>-5.5555555555555558E-3</v>
      </c>
      <c r="M62" s="3">
        <f>-13 / 1440</f>
        <v>-9.0277777777777769E-3</v>
      </c>
    </row>
    <row r="63" spans="1:18" x14ac:dyDescent="0.3">
      <c r="A63" t="s">
        <v>88</v>
      </c>
      <c r="B63" s="15">
        <f t="shared" si="0"/>
        <v>0.13421296296296301</v>
      </c>
      <c r="C63" s="12">
        <f t="shared" si="1"/>
        <v>0.87777777777777788</v>
      </c>
      <c r="D63" s="3" t="s">
        <v>65</v>
      </c>
      <c r="E63" s="12">
        <f t="shared" si="3"/>
        <v>0.96068376068376071</v>
      </c>
      <c r="F63">
        <v>10</v>
      </c>
      <c r="G63">
        <v>0</v>
      </c>
      <c r="H63" s="3">
        <v>0</v>
      </c>
      <c r="L63" s="25">
        <f>-9 / 1440</f>
        <v>-6.2500000000000003E-3</v>
      </c>
      <c r="M63" s="3">
        <f>-14 / 1440</f>
        <v>-9.7222222222222224E-3</v>
      </c>
    </row>
    <row r="64" spans="1:18" x14ac:dyDescent="0.3">
      <c r="A64" t="s">
        <v>90</v>
      </c>
      <c r="B64" s="15">
        <f t="shared" si="0"/>
        <v>0.30784722222222222</v>
      </c>
      <c r="C64" s="12">
        <f t="shared" si="1"/>
        <v>0.6</v>
      </c>
      <c r="D64" s="3">
        <f t="shared" si="2"/>
        <v>-4.1358024691358212E-4</v>
      </c>
      <c r="E64" s="12">
        <f t="shared" si="3"/>
        <v>0.92649572649572653</v>
      </c>
      <c r="F64">
        <v>0</v>
      </c>
      <c r="G64">
        <v>0</v>
      </c>
      <c r="H64" s="3">
        <v>4.1666666666666666E-3</v>
      </c>
      <c r="L64" s="25">
        <f>-10 / 1440</f>
        <v>-6.9444444444444441E-3</v>
      </c>
      <c r="M64" s="3">
        <f>-15 / 1440</f>
        <v>-1.0416666666666666E-2</v>
      </c>
    </row>
    <row r="65" spans="1:19" x14ac:dyDescent="0.3">
      <c r="A65" t="s">
        <v>92</v>
      </c>
      <c r="B65" s="15">
        <f t="shared" si="0"/>
        <v>5.7986111111111092E-2</v>
      </c>
      <c r="C65" s="12">
        <f t="shared" si="1"/>
        <v>1</v>
      </c>
      <c r="D65" s="3">
        <f t="shared" si="2"/>
        <v>1.0092592592592591E-2</v>
      </c>
      <c r="E65" s="12">
        <f t="shared" si="3"/>
        <v>0.97435897435897434</v>
      </c>
      <c r="F65">
        <v>0</v>
      </c>
      <c r="G65">
        <v>0</v>
      </c>
      <c r="H65" s="3">
        <v>0</v>
      </c>
      <c r="L65" s="3">
        <v>2.0833333333333332E-2</v>
      </c>
      <c r="M65" s="3">
        <f>-18 / 1440</f>
        <v>-1.2500000000000001E-2</v>
      </c>
    </row>
    <row r="66" spans="1:19" x14ac:dyDescent="0.3">
      <c r="A66" t="s">
        <v>94</v>
      </c>
      <c r="B66" s="15">
        <f t="shared" si="0"/>
        <v>0.17932870370370368</v>
      </c>
      <c r="C66" s="12">
        <f t="shared" si="1"/>
        <v>0.64444444444444449</v>
      </c>
      <c r="D66" s="3">
        <f t="shared" si="2"/>
        <v>-1.2283950617283969E-3</v>
      </c>
      <c r="E66" s="12">
        <f t="shared" si="3"/>
        <v>0.92307692307692313</v>
      </c>
      <c r="F66">
        <v>0.5</v>
      </c>
      <c r="G66">
        <v>0</v>
      </c>
      <c r="H66" s="3">
        <v>6.2500000000000003E-3</v>
      </c>
      <c r="L66" s="3"/>
    </row>
    <row r="68" spans="1:19" x14ac:dyDescent="0.3">
      <c r="A68" s="1" t="s">
        <v>118</v>
      </c>
      <c r="B68" t="s">
        <v>111</v>
      </c>
      <c r="C68" t="s">
        <v>69</v>
      </c>
      <c r="D68" t="s">
        <v>68</v>
      </c>
      <c r="E68" t="s">
        <v>70</v>
      </c>
      <c r="F68" t="s">
        <v>67</v>
      </c>
      <c r="G68" t="s">
        <v>112</v>
      </c>
      <c r="H68" t="s">
        <v>113</v>
      </c>
      <c r="I68" t="s">
        <v>114</v>
      </c>
      <c r="J68" t="s">
        <v>119</v>
      </c>
      <c r="K68" t="s">
        <v>120</v>
      </c>
      <c r="L68" t="s">
        <v>121</v>
      </c>
      <c r="S68" s="11">
        <v>4.1666666666666666E-3</v>
      </c>
    </row>
    <row r="69" spans="1:19" x14ac:dyDescent="0.3">
      <c r="A69" s="1" t="s">
        <v>122</v>
      </c>
      <c r="B69" s="32">
        <f>4*($H$57-$K$57)/($K$58-$K$57)+1</f>
        <v>2.1111111111111107</v>
      </c>
      <c r="C69" s="32">
        <f>4*(D57-$L$65)/($L$57-$L$65)+1</f>
        <v>4.4039057239057247</v>
      </c>
      <c r="D69" s="32">
        <f>4*(C57-$M$57)/($M$58-$M$57)+1</f>
        <v>4.155555555555555</v>
      </c>
      <c r="E69" s="32">
        <f>4*(E57-$N$57)/($N$58-$N$57)+1</f>
        <v>4.7880341880341888</v>
      </c>
      <c r="F69" s="32">
        <f>5-4*(B57-$O$57)/($O$59-$O$57)</f>
        <v>4.1920000000000002</v>
      </c>
      <c r="G69" s="32">
        <f>5-4*(F57-$P$57)/($P$58-$P$57)</f>
        <v>5</v>
      </c>
      <c r="H69" s="32">
        <f>5-4*(G57-$Q$57)/($Q$58-$Q$57)</f>
        <v>5</v>
      </c>
      <c r="I69">
        <v>5</v>
      </c>
      <c r="J69" s="31">
        <f t="shared" ref="J69" si="4">AVERAGE(B69:I69)</f>
        <v>4.3313258223258222</v>
      </c>
      <c r="K69" s="31">
        <f>(2*(B69+C69+G69)+D69+E69+F69+H69+I69)/11</f>
        <v>4.196874855783947</v>
      </c>
      <c r="L69" s="31">
        <f>(2*(D69+E69+F69+H69)+B69+C69+G69+I69)/12</f>
        <v>4.3988496935163601</v>
      </c>
      <c r="P69" s="11">
        <v>0.43131944444444442</v>
      </c>
      <c r="Q69" s="11">
        <v>0.41395833333333332</v>
      </c>
      <c r="R69" s="11">
        <f>P69-Q69</f>
        <v>1.7361111111111105E-2</v>
      </c>
      <c r="S69" s="11">
        <f>R69-S68</f>
        <v>1.3194444444444439E-2</v>
      </c>
    </row>
    <row r="70" spans="1:19" x14ac:dyDescent="0.3">
      <c r="A70" t="s">
        <v>123</v>
      </c>
      <c r="B70" s="32">
        <f>4*($H$58-$K$57)/($K$58-$K$57)+1</f>
        <v>3</v>
      </c>
      <c r="C70" s="32">
        <f>4*(D58-$D$65)/($D$61-$D$65)+1</f>
        <v>4.7807783955520256</v>
      </c>
      <c r="D70" s="32">
        <f t="shared" ref="D70:D78" si="5">4*(C58-$M$57)/($M$58-$M$57)+1</f>
        <v>3.7555555555555555</v>
      </c>
      <c r="E70" s="32">
        <f t="shared" ref="E70:E78" si="6">4*(E58-$N$57)/($N$58-$N$57)+1</f>
        <v>4.528205128205129</v>
      </c>
      <c r="F70" s="32">
        <f t="shared" ref="F70:F78" si="7">5-4*(B58-$O$57)/($O$59-$O$57)</f>
        <v>3.7897777777777777</v>
      </c>
      <c r="G70" s="32">
        <f t="shared" ref="G70:G78" si="8">5-4*(F58-$P$57)/($P$58-$P$57)</f>
        <v>5</v>
      </c>
      <c r="H70" s="32">
        <f>5-4*(G58-$Q$57)/($Q$58-$Q$57)</f>
        <v>3.666666666666667</v>
      </c>
      <c r="I70">
        <v>5</v>
      </c>
      <c r="J70" s="31">
        <f t="shared" ref="J70:J78" si="9">AVERAGE(B70:I70)</f>
        <v>4.1901229404696441</v>
      </c>
      <c r="K70" s="31">
        <f>(2*(B70+C70+G70)+D70+E70+F70+H70+I70)/11</f>
        <v>4.2092510835735615</v>
      </c>
      <c r="L70" s="31">
        <f>(2*(D70+E70+F70+H70)+B70+C70+G70+I70)/12</f>
        <v>4.1050990543301902</v>
      </c>
      <c r="P70" s="11">
        <v>0.48342592592592593</v>
      </c>
      <c r="Q70" s="11">
        <v>0.47499999999999998</v>
      </c>
      <c r="R70" s="11">
        <f>P70-Q70</f>
        <v>8.4259259259259478E-3</v>
      </c>
      <c r="S70" s="11">
        <f>R70-S68</f>
        <v>4.2592592592592812E-3</v>
      </c>
    </row>
    <row r="71" spans="1:19" x14ac:dyDescent="0.3">
      <c r="A71" s="13" t="s">
        <v>124</v>
      </c>
      <c r="B71" s="32">
        <f>4*($H$59-$K$57)/($K$58-$K$57)+1</f>
        <v>2.1111111111111107</v>
      </c>
      <c r="C71" s="32">
        <f t="shared" ref="C71:C78" si="10">4*(D59-$D$65)/($D$61-$D$65)+1</f>
        <v>4.005559968228753</v>
      </c>
      <c r="D71" s="32">
        <f t="shared" si="5"/>
        <v>3.9777777777777783</v>
      </c>
      <c r="E71" s="32">
        <f t="shared" si="6"/>
        <v>4.747008547008547</v>
      </c>
      <c r="F71" s="32">
        <f t="shared" si="7"/>
        <v>4.0832592592592594</v>
      </c>
      <c r="G71" s="32">
        <f t="shared" si="8"/>
        <v>5</v>
      </c>
      <c r="H71" s="32">
        <f t="shared" ref="H71:H78" si="11">5-4*(G59-$Q$57)/($Q$58-$Q$57)</f>
        <v>5</v>
      </c>
      <c r="I71">
        <v>5</v>
      </c>
      <c r="J71" s="31">
        <f t="shared" si="9"/>
        <v>4.2405895829231808</v>
      </c>
      <c r="K71" s="31">
        <f t="shared" ref="K71:K78" si="12">(2*(B71+C71+G71)+D71+E71+F71+H71+I71)/11</f>
        <v>4.094671612975028</v>
      </c>
      <c r="L71" s="31">
        <f t="shared" ref="L71:L78" si="13">(2*(D71+E71+F71+H71)+B71+C71+G71+I71)/12</f>
        <v>4.3110635206192534</v>
      </c>
      <c r="R71" s="11">
        <f>R69-R70</f>
        <v>8.9351851851851571E-3</v>
      </c>
    </row>
    <row r="72" spans="1:19" x14ac:dyDescent="0.3">
      <c r="A72" t="s">
        <v>125</v>
      </c>
      <c r="B72" s="32">
        <f>4*($H$60-$K$57)/($K$58-$K$57)+1</f>
        <v>3</v>
      </c>
      <c r="C72" s="32">
        <f>4*(D60-$D$65)/($D$61-$D$65)+1</f>
        <v>4.7701879798782105</v>
      </c>
      <c r="D72" s="32">
        <f>4*(C60-$M$57)/($M$58-$M$57)+1</f>
        <v>3.1333333333333333</v>
      </c>
      <c r="E72" s="32">
        <f t="shared" si="6"/>
        <v>4.1042735042735048</v>
      </c>
      <c r="F72" s="32">
        <f t="shared" si="7"/>
        <v>2.8364444444444441</v>
      </c>
      <c r="G72" s="32">
        <f t="shared" si="8"/>
        <v>5</v>
      </c>
      <c r="H72" s="32">
        <f t="shared" si="11"/>
        <v>5</v>
      </c>
      <c r="I72">
        <v>5</v>
      </c>
      <c r="J72" s="31">
        <f t="shared" si="9"/>
        <v>4.1055299077411869</v>
      </c>
      <c r="K72" s="31">
        <f t="shared" si="12"/>
        <v>4.1467661128916093</v>
      </c>
      <c r="L72" s="31">
        <f t="shared" si="13"/>
        <v>3.9931908786650645</v>
      </c>
    </row>
    <row r="73" spans="1:19" x14ac:dyDescent="0.3">
      <c r="A73" t="s">
        <v>126</v>
      </c>
      <c r="B73" s="32">
        <f>4*($H$61-$K$57)/($K$58-$K$57)+1</f>
        <v>3</v>
      </c>
      <c r="C73" s="32">
        <f t="shared" si="10"/>
        <v>5</v>
      </c>
      <c r="D73" s="32">
        <f t="shared" si="5"/>
        <v>3.8888888888888888</v>
      </c>
      <c r="E73" s="32">
        <f t="shared" si="6"/>
        <v>4.6444444444444439</v>
      </c>
      <c r="F73" s="32">
        <f t="shared" si="7"/>
        <v>4.1207407407407404</v>
      </c>
      <c r="G73" s="32">
        <f>5-4*(F61-$P$57)/($P$58-$P$57)</f>
        <v>4.666666666666667</v>
      </c>
      <c r="H73" s="32">
        <f t="shared" si="11"/>
        <v>5</v>
      </c>
      <c r="I73">
        <v>5</v>
      </c>
      <c r="J73" s="31">
        <f t="shared" si="9"/>
        <v>4.4150925925925923</v>
      </c>
      <c r="K73" s="31">
        <f t="shared" si="12"/>
        <v>4.3624915824915824</v>
      </c>
      <c r="L73" s="31">
        <f t="shared" si="13"/>
        <v>4.4145679012345678</v>
      </c>
    </row>
    <row r="74" spans="1:19" x14ac:dyDescent="0.3">
      <c r="A74" t="s">
        <v>127</v>
      </c>
      <c r="B74" s="32">
        <f>4*($H$62-$K$57)/($K$58-$K$57)+1</f>
        <v>3</v>
      </c>
      <c r="C74" s="32">
        <f>4*(D62-$D$65)/($D$61-$D$65)+1</f>
        <v>4.751654752449034</v>
      </c>
      <c r="D74" s="32">
        <f t="shared" si="5"/>
        <v>3.666666666666667</v>
      </c>
      <c r="E74" s="32">
        <f t="shared" si="6"/>
        <v>4.6786324786324789</v>
      </c>
      <c r="F74" s="32">
        <f t="shared" si="7"/>
        <v>3.8485925925925928</v>
      </c>
      <c r="G74" s="32">
        <f t="shared" si="8"/>
        <v>5</v>
      </c>
      <c r="H74" s="32">
        <f t="shared" si="11"/>
        <v>5</v>
      </c>
      <c r="I74">
        <v>1</v>
      </c>
      <c r="J74" s="31">
        <f t="shared" si="9"/>
        <v>3.8681933112925964</v>
      </c>
      <c r="K74" s="31">
        <f t="shared" si="12"/>
        <v>3.9724728402536189</v>
      </c>
      <c r="L74" s="31">
        <f t="shared" si="13"/>
        <v>4.0116198523527098</v>
      </c>
    </row>
    <row r="75" spans="1:19" x14ac:dyDescent="0.3">
      <c r="A75" t="s">
        <v>128</v>
      </c>
      <c r="B75" s="32">
        <f>4*($H$63-$K$57)/($K$58-$K$57)+1</f>
        <v>1</v>
      </c>
      <c r="C75" s="32">
        <v>0</v>
      </c>
      <c r="D75" s="32">
        <f t="shared" si="5"/>
        <v>4.5111111111111111</v>
      </c>
      <c r="E75" s="32">
        <f t="shared" si="6"/>
        <v>4.8427350427350433</v>
      </c>
      <c r="F75" s="32">
        <f t="shared" si="7"/>
        <v>4.1410370370370364</v>
      </c>
      <c r="G75" s="32">
        <f t="shared" si="8"/>
        <v>1.6666666666666665</v>
      </c>
      <c r="H75" s="32">
        <f t="shared" si="11"/>
        <v>5</v>
      </c>
      <c r="I75">
        <v>5</v>
      </c>
      <c r="J75" s="31">
        <f t="shared" si="9"/>
        <v>3.2701937321937322</v>
      </c>
      <c r="K75" s="31">
        <f t="shared" si="12"/>
        <v>2.6207469567469568</v>
      </c>
      <c r="L75" s="31">
        <f t="shared" si="13"/>
        <v>3.7213694207027537</v>
      </c>
    </row>
    <row r="76" spans="1:19" x14ac:dyDescent="0.3">
      <c r="A76" t="s">
        <v>129</v>
      </c>
      <c r="B76" s="32">
        <f>4*($H$64-$K$57)/($K$58-$K$57)+1</f>
        <v>2.333333333333333</v>
      </c>
      <c r="C76" s="32">
        <f t="shared" si="10"/>
        <v>4.6049774953666933</v>
      </c>
      <c r="D76" s="32">
        <f t="shared" si="5"/>
        <v>3.4</v>
      </c>
      <c r="E76" s="32">
        <f t="shared" si="6"/>
        <v>4.7059829059829061</v>
      </c>
      <c r="F76" s="32">
        <f t="shared" si="7"/>
        <v>3.0297777777777779</v>
      </c>
      <c r="G76" s="32">
        <f t="shared" si="8"/>
        <v>5</v>
      </c>
      <c r="H76" s="32">
        <f t="shared" si="11"/>
        <v>5</v>
      </c>
      <c r="I76">
        <v>5</v>
      </c>
      <c r="J76" s="31">
        <f t="shared" si="9"/>
        <v>4.1342589390575881</v>
      </c>
      <c r="K76" s="31">
        <f t="shared" si="12"/>
        <v>4.0920347582873395</v>
      </c>
      <c r="L76" s="31">
        <f t="shared" si="13"/>
        <v>4.1008193496851169</v>
      </c>
    </row>
    <row r="77" spans="1:19" x14ac:dyDescent="0.3">
      <c r="A77" t="s">
        <v>130</v>
      </c>
      <c r="B77" s="32">
        <f>4*($H$65-$K$57)/($K$58-$K$57)+1</f>
        <v>1</v>
      </c>
      <c r="C77" s="32">
        <f t="shared" si="10"/>
        <v>1</v>
      </c>
      <c r="D77" s="32">
        <f t="shared" si="5"/>
        <v>5</v>
      </c>
      <c r="E77" s="32">
        <f t="shared" si="6"/>
        <v>4.8974358974358978</v>
      </c>
      <c r="F77" s="32">
        <f t="shared" si="7"/>
        <v>4.6288888888888886</v>
      </c>
      <c r="G77" s="32">
        <f t="shared" si="8"/>
        <v>5</v>
      </c>
      <c r="H77" s="32">
        <f t="shared" si="11"/>
        <v>5</v>
      </c>
      <c r="I77">
        <v>5</v>
      </c>
      <c r="J77" s="31">
        <f t="shared" si="9"/>
        <v>3.9407905982905982</v>
      </c>
      <c r="K77" s="31">
        <f t="shared" si="12"/>
        <v>3.5023931623931621</v>
      </c>
      <c r="L77" s="31">
        <f t="shared" si="13"/>
        <v>4.254387464387464</v>
      </c>
    </row>
    <row r="78" spans="1:19" x14ac:dyDescent="0.3">
      <c r="A78" t="s">
        <v>131</v>
      </c>
      <c r="B78" s="32">
        <f>4*($H$66-$K$57)/($K$58-$K$57)+1</f>
        <v>3</v>
      </c>
      <c r="C78" s="32">
        <f t="shared" si="10"/>
        <v>4.8845644691554142</v>
      </c>
      <c r="D78" s="32">
        <f t="shared" si="5"/>
        <v>3.5777777777777779</v>
      </c>
      <c r="E78" s="32">
        <f t="shared" si="6"/>
        <v>4.6923076923076925</v>
      </c>
      <c r="F78" s="32">
        <f t="shared" si="7"/>
        <v>3.8522962962962963</v>
      </c>
      <c r="G78" s="32">
        <f t="shared" si="8"/>
        <v>4.833333333333333</v>
      </c>
      <c r="H78" s="32">
        <f t="shared" si="11"/>
        <v>5</v>
      </c>
      <c r="I78">
        <v>5</v>
      </c>
      <c r="J78" s="31">
        <f t="shared" si="9"/>
        <v>4.3550349461088143</v>
      </c>
      <c r="K78" s="31">
        <f t="shared" si="12"/>
        <v>4.3234706701235686</v>
      </c>
      <c r="L78" s="31">
        <f t="shared" si="13"/>
        <v>4.3302217779376901</v>
      </c>
    </row>
    <row r="80" spans="1:19" x14ac:dyDescent="0.3">
      <c r="A80" s="1" t="s">
        <v>66</v>
      </c>
      <c r="B80" t="s">
        <v>111</v>
      </c>
      <c r="C80" t="s">
        <v>69</v>
      </c>
      <c r="D80" t="s">
        <v>68</v>
      </c>
      <c r="E80" t="s">
        <v>70</v>
      </c>
      <c r="F80" t="s">
        <v>67</v>
      </c>
      <c r="G80" t="s">
        <v>112</v>
      </c>
      <c r="H80" t="s">
        <v>113</v>
      </c>
      <c r="I80" t="s">
        <v>114</v>
      </c>
      <c r="J80" t="s">
        <v>132</v>
      </c>
      <c r="K80" t="s">
        <v>120</v>
      </c>
      <c r="L80" t="s">
        <v>121</v>
      </c>
    </row>
    <row r="81" spans="1:12" x14ac:dyDescent="0.3">
      <c r="A81" t="s">
        <v>123</v>
      </c>
      <c r="B81" s="32">
        <f>4*($H$58-$K$57)/($K$58-$K$57)+1</f>
        <v>3</v>
      </c>
      <c r="C81" s="32">
        <f>4*(D2-$L$65)/($L$57-$L$65)+1</f>
        <v>5</v>
      </c>
      <c r="D81" s="32">
        <f>4*(C2-$M$57)/($M$58-$M$57)+1</f>
        <v>4.3333333333333339</v>
      </c>
      <c r="E81" s="32">
        <f>4*(E2-$N$57)/($N$58-$N$57)+1</f>
        <v>4.2820512820512819</v>
      </c>
      <c r="F81" s="32">
        <f>5-4*(B2-$O$57)/($O$58-$O$57)</f>
        <v>4.097777777777778</v>
      </c>
      <c r="G81" s="32">
        <f>5-4*($F$58-$P$57)/($P$58-$P$57)</f>
        <v>5</v>
      </c>
      <c r="H81" s="32">
        <f>5-4*($G$58-$Q$57)/($Q$58-$Q$57)</f>
        <v>3.666666666666667</v>
      </c>
      <c r="I81">
        <v>5</v>
      </c>
      <c r="J81" s="31">
        <f t="shared" ref="J81:J89" si="14">AVERAGE(B81:I81)</f>
        <v>4.2974786324786329</v>
      </c>
      <c r="K81" s="31">
        <f>(2*(B81+C81+G81)+D81+E81+F81+H81+I81)/11</f>
        <v>4.3072571872571874</v>
      </c>
      <c r="L81" s="31">
        <f>(2*(D81+E81+F81+H81)+B81+C81+G81+I81)/12</f>
        <v>4.2299715099715103</v>
      </c>
    </row>
    <row r="82" spans="1:12" x14ac:dyDescent="0.3">
      <c r="A82" s="13" t="s">
        <v>124</v>
      </c>
      <c r="B82" s="32">
        <f>4*($H$59-$K$57)/($K$58-$K$57)+1</f>
        <v>2.1111111111111107</v>
      </c>
      <c r="C82" s="32">
        <f t="shared" ref="C82:C89" si="15">4*(D3-$L$65)/($L$57-$L$65)+1</f>
        <v>5</v>
      </c>
      <c r="D82" s="32">
        <f t="shared" ref="D82:D89" si="16">4*(C3-$M$57)/($M$58-$M$57)+1</f>
        <v>3.6666666666666665</v>
      </c>
      <c r="E82" s="32">
        <f t="shared" ref="E82:E89" si="17">4*(E3-$N$57)/($N$58-$N$57)+1</f>
        <v>4.2820512820512819</v>
      </c>
      <c r="F82" s="32">
        <f t="shared" ref="F82:F89" si="18">5-4*(B3-$O$57)/($O$58-$O$57)</f>
        <v>3.8844444444444441</v>
      </c>
      <c r="G82" s="32">
        <f>5-4*($F$59-$P$57)/($P$58-$P$57)</f>
        <v>5</v>
      </c>
      <c r="H82" s="32">
        <f>5-4*($G$59-$Q$57)/($Q$58-$Q$57)</f>
        <v>5</v>
      </c>
      <c r="I82">
        <v>5</v>
      </c>
      <c r="J82" s="31">
        <f t="shared" si="14"/>
        <v>4.243034188034188</v>
      </c>
      <c r="K82" s="31">
        <f t="shared" ref="K82:K89" si="19">(2*(B82+C82+G82)+D82+E82+F82+H82+I82)/11</f>
        <v>4.1868531468531467</v>
      </c>
      <c r="L82" s="31">
        <f t="shared" ref="L82:L89" si="20">(2*(D82+E82+F82+H82)+B82+C82+G82+I82)/12</f>
        <v>4.2314529914529908</v>
      </c>
    </row>
    <row r="83" spans="1:12" x14ac:dyDescent="0.3">
      <c r="A83" t="s">
        <v>125</v>
      </c>
      <c r="B83" s="32">
        <f>4*($H$60-$K$57)/($K$58-$K$57)+1</f>
        <v>3</v>
      </c>
      <c r="C83" s="32">
        <f t="shared" si="15"/>
        <v>5</v>
      </c>
      <c r="D83" s="32">
        <f t="shared" si="16"/>
        <v>4.3333333333333339</v>
      </c>
      <c r="E83" s="32">
        <f t="shared" si="17"/>
        <v>4.4871794871794872</v>
      </c>
      <c r="F83" s="32">
        <f t="shared" si="18"/>
        <v>4.5733333333333333</v>
      </c>
      <c r="G83" s="32">
        <f>5-4*($F$60-$P$57)/($P$58-$P$57)</f>
        <v>5</v>
      </c>
      <c r="H83" s="32">
        <f>5-4*($G$60-$Q$57)/($Q$58-$Q$57)</f>
        <v>5</v>
      </c>
      <c r="I83">
        <v>5</v>
      </c>
      <c r="J83" s="31">
        <f t="shared" si="14"/>
        <v>4.5492307692307694</v>
      </c>
      <c r="K83" s="31">
        <f t="shared" si="19"/>
        <v>4.4903496503496507</v>
      </c>
      <c r="L83" s="31">
        <f t="shared" si="20"/>
        <v>4.5656410256410256</v>
      </c>
    </row>
    <row r="84" spans="1:12" x14ac:dyDescent="0.3">
      <c r="A84" t="s">
        <v>126</v>
      </c>
      <c r="B84" s="32">
        <f>4*($H$61-$K$57)/($K$58-$K$57)+1</f>
        <v>3</v>
      </c>
      <c r="C84" s="32">
        <f t="shared" si="15"/>
        <v>5</v>
      </c>
      <c r="D84" s="32">
        <f t="shared" si="16"/>
        <v>5</v>
      </c>
      <c r="E84" s="32">
        <f t="shared" si="17"/>
        <v>4.6923076923076925</v>
      </c>
      <c r="F84" s="32">
        <f t="shared" si="18"/>
        <v>4.8444444444444441</v>
      </c>
      <c r="G84" s="32">
        <f>5-4*($F$61-$P$57)/($P$58-$P$57)</f>
        <v>4.666666666666667</v>
      </c>
      <c r="H84" s="32">
        <f>5-4*($G$61-$Q$57)/($Q$58-$Q$57)</f>
        <v>5</v>
      </c>
      <c r="I84">
        <v>5</v>
      </c>
      <c r="J84" s="31">
        <f t="shared" si="14"/>
        <v>4.6504273504273508</v>
      </c>
      <c r="K84" s="31">
        <f t="shared" si="19"/>
        <v>4.5336441336441338</v>
      </c>
      <c r="L84" s="31">
        <f t="shared" si="20"/>
        <v>4.7283475783475781</v>
      </c>
    </row>
    <row r="85" spans="1:12" x14ac:dyDescent="0.3">
      <c r="A85" t="s">
        <v>127</v>
      </c>
      <c r="B85" s="32">
        <f>4*($H$62-$K$57)/($K$58-$K$57)+1</f>
        <v>3</v>
      </c>
      <c r="C85" s="32">
        <f t="shared" si="15"/>
        <v>5</v>
      </c>
      <c r="D85" s="32">
        <f t="shared" si="16"/>
        <v>4.3333333333333339</v>
      </c>
      <c r="E85" s="32">
        <f t="shared" si="17"/>
        <v>4.4871794871794872</v>
      </c>
      <c r="F85" s="32">
        <f t="shared" si="18"/>
        <v>4.5844444444444443</v>
      </c>
      <c r="G85" s="32">
        <f>5-4*($F$62-$P$57)/($P$58-$P$57)</f>
        <v>5</v>
      </c>
      <c r="H85" s="32">
        <f>5-4*($G$62-$Q$57)/($Q$58-$Q$57)</f>
        <v>5</v>
      </c>
      <c r="I85">
        <v>1</v>
      </c>
      <c r="J85" s="31">
        <f t="shared" si="14"/>
        <v>4.0506196581196576</v>
      </c>
      <c r="K85" s="31">
        <f t="shared" si="19"/>
        <v>4.1277233877233881</v>
      </c>
      <c r="L85" s="31">
        <f t="shared" si="20"/>
        <v>4.2341595441595441</v>
      </c>
    </row>
    <row r="86" spans="1:12" x14ac:dyDescent="0.3">
      <c r="A86" t="s">
        <v>128</v>
      </c>
      <c r="B86" s="32">
        <f>4*($H$63-$K$57)/($K$58-$K$57)+1</f>
        <v>1</v>
      </c>
      <c r="C86" s="32">
        <v>0</v>
      </c>
      <c r="D86" s="32">
        <f t="shared" si="16"/>
        <v>5</v>
      </c>
      <c r="E86" s="32">
        <f t="shared" si="17"/>
        <v>4.6923076923076925</v>
      </c>
      <c r="F86" s="32">
        <f t="shared" si="18"/>
        <v>4.528888888888889</v>
      </c>
      <c r="G86" s="32">
        <f>5-4*($F$63-$P$57)/($P$58-$P$57)</f>
        <v>1.6666666666666665</v>
      </c>
      <c r="H86" s="32">
        <f>5-4*($G$63-$Q$57)/($Q$58-$Q$57)</f>
        <v>5</v>
      </c>
      <c r="I86">
        <v>5</v>
      </c>
      <c r="J86" s="31">
        <f t="shared" si="14"/>
        <v>3.3609829059829064</v>
      </c>
      <c r="K86" s="31">
        <f t="shared" si="19"/>
        <v>2.6867754467754468</v>
      </c>
      <c r="L86" s="31">
        <f t="shared" si="20"/>
        <v>3.8424216524216526</v>
      </c>
    </row>
    <row r="87" spans="1:12" x14ac:dyDescent="0.3">
      <c r="A87" t="s">
        <v>129</v>
      </c>
      <c r="B87" s="32">
        <f>4*($H$64-$K$57)/($K$58-$K$57)+1</f>
        <v>2.333333333333333</v>
      </c>
      <c r="C87" s="32">
        <f t="shared" si="15"/>
        <v>5</v>
      </c>
      <c r="D87" s="32">
        <f t="shared" si="16"/>
        <v>3</v>
      </c>
      <c r="E87" s="32">
        <f t="shared" si="17"/>
        <v>4.2820512820512819</v>
      </c>
      <c r="F87" s="32">
        <f t="shared" si="18"/>
        <v>3.108888888888889</v>
      </c>
      <c r="G87" s="32">
        <f>5-4*($F$64-$P$57)/($P$58-$P$57)</f>
        <v>5</v>
      </c>
      <c r="H87" s="32">
        <f>5-4*($G$64-$Q$57)/($Q$58-$Q$57)</f>
        <v>5</v>
      </c>
      <c r="I87">
        <v>5</v>
      </c>
      <c r="J87" s="31">
        <f t="shared" si="14"/>
        <v>4.0905341880341872</v>
      </c>
      <c r="K87" s="31">
        <f t="shared" si="19"/>
        <v>4.0961460761460762</v>
      </c>
      <c r="L87" s="31">
        <f t="shared" si="20"/>
        <v>4.0096011396011395</v>
      </c>
    </row>
    <row r="88" spans="1:12" x14ac:dyDescent="0.3">
      <c r="A88" t="s">
        <v>130</v>
      </c>
      <c r="B88" s="32">
        <f>4*($H$65-$K$57)/($K$58-$K$57)+1</f>
        <v>1</v>
      </c>
      <c r="C88" s="32">
        <f t="shared" si="15"/>
        <v>1.9292929292929288</v>
      </c>
      <c r="D88" s="32">
        <f t="shared" si="16"/>
        <v>5</v>
      </c>
      <c r="E88" s="32">
        <f>4*(E9-$N$57)/($N$58-$N$57)+1</f>
        <v>4.8974358974358978</v>
      </c>
      <c r="F88" s="32">
        <f t="shared" si="18"/>
        <v>4.6288888888888886</v>
      </c>
      <c r="G88" s="32">
        <f>5-4*($F$65-$P$57)/($P$58-$P$57)</f>
        <v>5</v>
      </c>
      <c r="H88" s="32">
        <f>5-4*($G$65-$Q$57)/($Q$58-$Q$57)</f>
        <v>5</v>
      </c>
      <c r="I88">
        <v>5</v>
      </c>
      <c r="J88" s="31">
        <f t="shared" si="14"/>
        <v>4.056952214452215</v>
      </c>
      <c r="K88" s="31">
        <f t="shared" si="19"/>
        <v>3.6713555131736952</v>
      </c>
      <c r="L88" s="31">
        <f t="shared" si="20"/>
        <v>4.3318285418285418</v>
      </c>
    </row>
    <row r="89" spans="1:12" x14ac:dyDescent="0.3">
      <c r="A89" t="s">
        <v>131</v>
      </c>
      <c r="B89" s="32">
        <f>4*($H$66-$K$57)/($K$58-$K$57)+1</f>
        <v>3</v>
      </c>
      <c r="C89" s="32">
        <f t="shared" si="15"/>
        <v>5</v>
      </c>
      <c r="D89" s="32">
        <f t="shared" si="16"/>
        <v>4.3333333333333339</v>
      </c>
      <c r="E89" s="32">
        <f t="shared" si="17"/>
        <v>4.2820512820512819</v>
      </c>
      <c r="F89" s="32">
        <f t="shared" si="18"/>
        <v>4.275555555555556</v>
      </c>
      <c r="G89" s="32">
        <f>5-4*($F$66-$P$57)/($P$58-$P$57)</f>
        <v>4.833333333333333</v>
      </c>
      <c r="H89" s="32">
        <f>5-4*($G$66-$Q$57)/($Q$58-$Q$57)</f>
        <v>5</v>
      </c>
      <c r="I89">
        <v>5</v>
      </c>
      <c r="J89" s="31">
        <f t="shared" si="14"/>
        <v>4.4655341880341881</v>
      </c>
      <c r="K89" s="31">
        <f t="shared" si="19"/>
        <v>4.4143278943278945</v>
      </c>
      <c r="L89" s="31">
        <f t="shared" si="20"/>
        <v>4.4679344729344734</v>
      </c>
    </row>
    <row r="90" spans="1:12" x14ac:dyDescent="0.3">
      <c r="G90" s="32"/>
    </row>
    <row r="91" spans="1:12" x14ac:dyDescent="0.3">
      <c r="A91" s="1" t="s">
        <v>71</v>
      </c>
      <c r="B91" t="s">
        <v>111</v>
      </c>
      <c r="C91" t="s">
        <v>69</v>
      </c>
      <c r="D91" t="s">
        <v>68</v>
      </c>
      <c r="E91" t="s">
        <v>70</v>
      </c>
      <c r="F91" t="s">
        <v>67</v>
      </c>
      <c r="G91" t="s">
        <v>112</v>
      </c>
      <c r="H91" t="s">
        <v>113</v>
      </c>
      <c r="I91" t="s">
        <v>114</v>
      </c>
      <c r="J91" t="s">
        <v>132</v>
      </c>
      <c r="K91" t="s">
        <v>120</v>
      </c>
      <c r="L91" t="s">
        <v>121</v>
      </c>
    </row>
    <row r="92" spans="1:12" x14ac:dyDescent="0.3">
      <c r="A92" t="s">
        <v>123</v>
      </c>
      <c r="B92" s="32">
        <f>4*($H$58-$K$57)/($K$58-$K$57)+1</f>
        <v>3</v>
      </c>
      <c r="C92" s="32">
        <f>4*(J2-$L$65)/($L$58-$L$65)+1</f>
        <v>5</v>
      </c>
      <c r="D92" s="32">
        <f>4*(I2-$M$57)/($M$58-$M$57)+1</f>
        <v>4.3333333333333339</v>
      </c>
      <c r="E92" s="32">
        <f>4*(K2-$N$57)/($N$58-$N$57)+1</f>
        <v>4.2820512820512819</v>
      </c>
      <c r="F92" s="32">
        <f>5-4*(H2-$O$57)/($O$58-$O$57)</f>
        <v>4.097777777777778</v>
      </c>
      <c r="G92" s="32">
        <f>5-4*($F$58-$P$57)/($P$58-$P$57)</f>
        <v>5</v>
      </c>
      <c r="H92" s="32">
        <f>5-4*($G$58-$Q$57)/($Q$58-$Q$57)</f>
        <v>3.666666666666667</v>
      </c>
      <c r="I92">
        <v>5</v>
      </c>
      <c r="J92" s="31">
        <f t="shared" ref="J92:J100" si="21">AVERAGE(B92:I92)</f>
        <v>4.2974786324786329</v>
      </c>
      <c r="K92" s="31">
        <f>(2*(B92+C92+G92)+D92+E92+F92+H92+I92)/11</f>
        <v>4.3072571872571874</v>
      </c>
      <c r="L92" s="31">
        <f>(2*(D92+E92+F92+H92)+B92+C92+G92+I92)/12</f>
        <v>4.2299715099715103</v>
      </c>
    </row>
    <row r="93" spans="1:12" x14ac:dyDescent="0.3">
      <c r="A93" s="13" t="s">
        <v>124</v>
      </c>
      <c r="B93" s="32">
        <f>4*($H$59-$K$57)/($K$58-$K$57)+1</f>
        <v>2.1111111111111107</v>
      </c>
      <c r="C93" s="32">
        <f t="shared" ref="C93:C100" si="22">4*(J3-$L$65)/($L$58-$L$65)+1</f>
        <v>5</v>
      </c>
      <c r="D93" s="32">
        <f t="shared" ref="D93:D100" si="23">4*(I3-$M$57)/($M$58-$M$57)+1</f>
        <v>2.333333333333333</v>
      </c>
      <c r="E93" s="32">
        <f t="shared" ref="E93:E100" si="24">4*(K3-$N$57)/($N$58-$N$57)+1</f>
        <v>4.1794871794871797</v>
      </c>
      <c r="F93" s="32">
        <f t="shared" ref="F93:F100" si="25">5-4*(H3-$O$57)/($O$58-$O$57)</f>
        <v>3.6311111111111112</v>
      </c>
      <c r="G93" s="32">
        <f>5-4*($F$59-$P$57)/($P$58-$P$57)</f>
        <v>5</v>
      </c>
      <c r="H93" s="32">
        <f>5-4*($G$59-$Q$57)/($Q$58-$Q$57)</f>
        <v>5</v>
      </c>
      <c r="I93">
        <v>5</v>
      </c>
      <c r="J93" s="31">
        <f t="shared" si="21"/>
        <v>4.0318803418803419</v>
      </c>
      <c r="K93" s="31">
        <f t="shared" ref="K93:K100" si="26">(2*(B93+C93+G93)+D93+E93+F93+H93+I93)/11</f>
        <v>4.0332867132867127</v>
      </c>
      <c r="L93" s="31">
        <f t="shared" ref="L93:L100" si="27">(2*(D93+E93+F93+H93)+B93+C93+G93+I93)/12</f>
        <v>3.9499145299145297</v>
      </c>
    </row>
    <row r="94" spans="1:12" x14ac:dyDescent="0.3">
      <c r="A94" t="s">
        <v>125</v>
      </c>
      <c r="B94" s="32">
        <f>4*($H$60-$K$57)/($K$58-$K$57)+1</f>
        <v>3</v>
      </c>
      <c r="C94" s="32">
        <f t="shared" si="22"/>
        <v>5</v>
      </c>
      <c r="D94" s="32">
        <f t="shared" si="23"/>
        <v>4.3333333333333339</v>
      </c>
      <c r="E94" s="32">
        <f t="shared" si="24"/>
        <v>4.2820512820512819</v>
      </c>
      <c r="F94" s="32">
        <f t="shared" si="25"/>
        <v>4.1777777777777771</v>
      </c>
      <c r="G94" s="32">
        <f>5-4*($F$60-$P$57)/($P$58-$P$57)</f>
        <v>5</v>
      </c>
      <c r="H94" s="32">
        <f>5-4*($G$60-$Q$57)/($Q$58-$Q$57)</f>
        <v>5</v>
      </c>
      <c r="I94">
        <v>5</v>
      </c>
      <c r="J94" s="31">
        <f t="shared" si="21"/>
        <v>4.4741452991452988</v>
      </c>
      <c r="K94" s="31">
        <f t="shared" si="26"/>
        <v>4.4357420357420363</v>
      </c>
      <c r="L94" s="31">
        <f t="shared" si="27"/>
        <v>4.4655270655270654</v>
      </c>
    </row>
    <row r="95" spans="1:12" x14ac:dyDescent="0.3">
      <c r="A95" t="s">
        <v>126</v>
      </c>
      <c r="B95" s="32">
        <f>4*($H$61-$K$57)/($K$58-$K$57)+1</f>
        <v>3</v>
      </c>
      <c r="C95" s="32">
        <f t="shared" si="22"/>
        <v>5</v>
      </c>
      <c r="D95" s="32">
        <f t="shared" si="23"/>
        <v>5</v>
      </c>
      <c r="E95" s="32">
        <f t="shared" si="24"/>
        <v>4.4871794871794872</v>
      </c>
      <c r="F95" s="32">
        <f t="shared" si="25"/>
        <v>4.66</v>
      </c>
      <c r="G95" s="32">
        <f>5-4*($F$61-$P$57)/($P$58-$P$57)</f>
        <v>4.666666666666667</v>
      </c>
      <c r="H95" s="32">
        <f>5-4*($G$61-$Q$57)/($Q$58-$Q$57)</f>
        <v>5</v>
      </c>
      <c r="I95">
        <v>5</v>
      </c>
      <c r="J95" s="31">
        <f t="shared" si="21"/>
        <v>4.6017307692307696</v>
      </c>
      <c r="K95" s="31">
        <f t="shared" si="26"/>
        <v>4.4982284382284385</v>
      </c>
      <c r="L95" s="31">
        <f t="shared" si="27"/>
        <v>4.6634188034188027</v>
      </c>
    </row>
    <row r="96" spans="1:12" x14ac:dyDescent="0.3">
      <c r="A96" t="s">
        <v>127</v>
      </c>
      <c r="B96" s="32">
        <f>4*($H$62-$K$57)/($K$58-$K$57)+1</f>
        <v>3</v>
      </c>
      <c r="C96" s="32">
        <f t="shared" si="22"/>
        <v>5</v>
      </c>
      <c r="D96" s="32">
        <f t="shared" si="23"/>
        <v>4.3333333333333339</v>
      </c>
      <c r="E96" s="32">
        <f t="shared" si="24"/>
        <v>4.2820512820512819</v>
      </c>
      <c r="F96" s="32">
        <f t="shared" si="25"/>
        <v>4.18</v>
      </c>
      <c r="G96" s="32">
        <f>5-4*($F$62-$P$57)/($P$58-$P$57)</f>
        <v>5</v>
      </c>
      <c r="H96" s="32">
        <f>5-4*($G$62-$Q$57)/($Q$58-$Q$57)</f>
        <v>5</v>
      </c>
      <c r="I96">
        <v>1</v>
      </c>
      <c r="J96" s="31">
        <f t="shared" si="21"/>
        <v>3.9744230769230771</v>
      </c>
      <c r="K96" s="31">
        <f t="shared" si="26"/>
        <v>4.0723076923076924</v>
      </c>
      <c r="L96" s="31">
        <f t="shared" si="27"/>
        <v>4.1325641025641024</v>
      </c>
    </row>
    <row r="97" spans="1:12" x14ac:dyDescent="0.3">
      <c r="A97" t="s">
        <v>128</v>
      </c>
      <c r="B97" s="32">
        <f>4*($H$63-$K$57)/($K$58-$K$57)+1</f>
        <v>1</v>
      </c>
      <c r="C97" s="32">
        <v>0</v>
      </c>
      <c r="D97" s="32">
        <f t="shared" si="23"/>
        <v>5</v>
      </c>
      <c r="E97" s="32">
        <f t="shared" si="24"/>
        <v>4.6923076923076925</v>
      </c>
      <c r="F97" s="32">
        <f t="shared" si="25"/>
        <v>4.4155555555555557</v>
      </c>
      <c r="G97" s="32">
        <f>5-4*($F$63-$P$57)/($P$58-$P$57)</f>
        <v>1.6666666666666665</v>
      </c>
      <c r="H97" s="32">
        <f>5-4*($G$63-$Q$57)/($Q$58-$Q$57)</f>
        <v>5</v>
      </c>
      <c r="I97">
        <v>5</v>
      </c>
      <c r="J97" s="31">
        <f t="shared" si="21"/>
        <v>3.3468162393162397</v>
      </c>
      <c r="K97" s="31">
        <f t="shared" si="26"/>
        <v>2.6764724164724165</v>
      </c>
      <c r="L97" s="31">
        <f t="shared" si="27"/>
        <v>3.8235327635327638</v>
      </c>
    </row>
    <row r="98" spans="1:12" x14ac:dyDescent="0.3">
      <c r="A98" t="s">
        <v>129</v>
      </c>
      <c r="B98" s="32">
        <f>4*($H$64-$K$57)/($K$58-$K$57)+1</f>
        <v>2.333333333333333</v>
      </c>
      <c r="C98" s="32">
        <f t="shared" si="22"/>
        <v>5</v>
      </c>
      <c r="D98" s="32">
        <f t="shared" si="23"/>
        <v>3.6666666666666665</v>
      </c>
      <c r="E98" s="32">
        <f t="shared" si="24"/>
        <v>4.2820512820512819</v>
      </c>
      <c r="F98" s="32">
        <f t="shared" si="25"/>
        <v>3.0177777777777774</v>
      </c>
      <c r="G98" s="32">
        <f>5-4*($F$64-$P$57)/($P$58-$P$57)</f>
        <v>5</v>
      </c>
      <c r="H98" s="32">
        <f>5-4*($G$64-$Q$57)/($Q$58-$Q$57)</f>
        <v>5</v>
      </c>
      <c r="I98">
        <v>5</v>
      </c>
      <c r="J98" s="31">
        <f t="shared" si="21"/>
        <v>4.1624786324786323</v>
      </c>
      <c r="K98" s="31">
        <f t="shared" si="26"/>
        <v>4.1484693084693083</v>
      </c>
      <c r="L98" s="31">
        <f t="shared" si="27"/>
        <v>4.1055270655270659</v>
      </c>
    </row>
    <row r="99" spans="1:12" x14ac:dyDescent="0.3">
      <c r="A99" t="s">
        <v>130</v>
      </c>
      <c r="B99" s="32">
        <f>4*($H$65-$K$57)/($K$58-$K$57)+1</f>
        <v>1</v>
      </c>
      <c r="C99" s="32">
        <f t="shared" si="22"/>
        <v>2.0196078431372548</v>
      </c>
      <c r="D99" s="32">
        <f t="shared" si="23"/>
        <v>5</v>
      </c>
      <c r="E99" s="32">
        <f t="shared" si="24"/>
        <v>4.8974358974358978</v>
      </c>
      <c r="F99" s="32">
        <f t="shared" si="25"/>
        <v>4.6288888888888886</v>
      </c>
      <c r="G99" s="32">
        <f>5-4*($F$65-$P$57)/($P$58-$P$57)</f>
        <v>5</v>
      </c>
      <c r="H99" s="32">
        <f>5-4*($G$65-$Q$57)/($Q$58-$Q$57)</f>
        <v>5</v>
      </c>
      <c r="I99">
        <v>5</v>
      </c>
      <c r="J99" s="31">
        <f t="shared" si="21"/>
        <v>4.0682415786827555</v>
      </c>
      <c r="K99" s="31">
        <f t="shared" si="26"/>
        <v>3.6877764065999359</v>
      </c>
      <c r="L99" s="31">
        <f t="shared" si="27"/>
        <v>4.3393547846489016</v>
      </c>
    </row>
    <row r="100" spans="1:12" x14ac:dyDescent="0.3">
      <c r="A100" t="s">
        <v>131</v>
      </c>
      <c r="B100" s="32">
        <f>4*($H$66-$K$57)/($K$58-$K$57)+1</f>
        <v>3</v>
      </c>
      <c r="C100" s="32">
        <f t="shared" si="22"/>
        <v>5</v>
      </c>
      <c r="D100" s="32">
        <f t="shared" si="23"/>
        <v>4.3333333333333339</v>
      </c>
      <c r="E100" s="32">
        <f t="shared" si="24"/>
        <v>4.2820512820512819</v>
      </c>
      <c r="F100" s="32">
        <f t="shared" si="25"/>
        <v>4.1111111111111107</v>
      </c>
      <c r="G100" s="32">
        <f>5-4*($F$66-$P$57)/($P$58-$P$57)</f>
        <v>4.833333333333333</v>
      </c>
      <c r="H100" s="32">
        <f>5-4*($G$66-$Q$57)/($Q$58-$Q$57)</f>
        <v>5</v>
      </c>
      <c r="I100">
        <v>5</v>
      </c>
      <c r="J100" s="31">
        <f t="shared" si="21"/>
        <v>4.444978632478632</v>
      </c>
      <c r="K100" s="31">
        <f t="shared" si="26"/>
        <v>4.3993783993784001</v>
      </c>
      <c r="L100" s="31">
        <f t="shared" si="27"/>
        <v>4.4405270655270659</v>
      </c>
    </row>
    <row r="102" spans="1:12" x14ac:dyDescent="0.3">
      <c r="A102" s="1" t="s">
        <v>76</v>
      </c>
      <c r="B102" t="s">
        <v>111</v>
      </c>
      <c r="C102" t="s">
        <v>69</v>
      </c>
      <c r="D102" t="s">
        <v>68</v>
      </c>
      <c r="E102" t="s">
        <v>70</v>
      </c>
      <c r="F102" t="s">
        <v>67</v>
      </c>
      <c r="G102" t="s">
        <v>112</v>
      </c>
      <c r="H102" t="s">
        <v>113</v>
      </c>
      <c r="I102" t="s">
        <v>114</v>
      </c>
      <c r="J102" t="s">
        <v>132</v>
      </c>
      <c r="K102" t="s">
        <v>120</v>
      </c>
      <c r="L102" t="s">
        <v>121</v>
      </c>
    </row>
    <row r="103" spans="1:12" x14ac:dyDescent="0.3">
      <c r="A103" t="s">
        <v>123</v>
      </c>
      <c r="B103" s="32">
        <f>4*($H$58-$K$57)/($K$58-$K$57)+1</f>
        <v>3</v>
      </c>
      <c r="C103" s="32">
        <f>4*(P2-$L$65)/($L$59-$L$65)+1</f>
        <v>5</v>
      </c>
      <c r="D103" s="32">
        <f>4*(O2-$M$57)/($M$58-$M$57)+1</f>
        <v>3</v>
      </c>
      <c r="E103" s="32">
        <f>4*(Q2-$N$57)/($N$58-$N$57)+1</f>
        <v>4.2820512820512819</v>
      </c>
      <c r="F103" s="32">
        <f>5-4*(N2-$O$57)/($O$58-$O$57)</f>
        <v>3.9444444444444446</v>
      </c>
      <c r="G103" s="32">
        <f>5-4*($F$58-$P$57)/($P$58-$P$57)</f>
        <v>5</v>
      </c>
      <c r="H103" s="32">
        <f>5-4*($G$58-$Q$57)/($Q$58-$Q$57)</f>
        <v>3.666666666666667</v>
      </c>
      <c r="I103">
        <v>5</v>
      </c>
      <c r="J103" s="31">
        <f t="shared" ref="J103:J111" si="28">AVERAGE(B103:I103)</f>
        <v>4.1116452991452999</v>
      </c>
      <c r="K103" s="31">
        <f>(2*(B103+C103+G103)+D103+E103+F103+H103+I103)/11</f>
        <v>4.1721056721056717</v>
      </c>
      <c r="L103" s="31">
        <f>(2*(D103+E103+F103+H103)+B103+C103+G103+I103)/12</f>
        <v>3.9821937321937324</v>
      </c>
    </row>
    <row r="104" spans="1:12" x14ac:dyDescent="0.3">
      <c r="A104" s="13" t="s">
        <v>124</v>
      </c>
      <c r="B104" s="32">
        <f>4*($H$59-$K$57)/($K$58-$K$57)+1</f>
        <v>2.1111111111111107</v>
      </c>
      <c r="C104" s="32">
        <f t="shared" ref="C104:C111" si="29">4*(P3-$L$65)/($L$59-$L$65)+1</f>
        <v>4.92</v>
      </c>
      <c r="D104" s="32">
        <f t="shared" ref="D104:D111" si="30">4*(O3-$M$57)/($M$58-$M$57)+1</f>
        <v>2.333333333333333</v>
      </c>
      <c r="E104" s="32">
        <f t="shared" ref="E104:E111" si="31">4*(Q3-$N$57)/($N$58-$N$57)+1</f>
        <v>3.9743589743589745</v>
      </c>
      <c r="F104" s="32">
        <f t="shared" ref="F104:F111" si="32">5-4*(N3-$O$57)/($O$58-$O$57)</f>
        <v>3.3600000000000003</v>
      </c>
      <c r="G104" s="32">
        <f>5-4*($F$59-$P$57)/($P$58-$P$57)</f>
        <v>5</v>
      </c>
      <c r="H104" s="32">
        <f>5-4*($G$59-$Q$57)/($Q$58-$Q$57)</f>
        <v>5</v>
      </c>
      <c r="I104">
        <v>5</v>
      </c>
      <c r="J104" s="31">
        <f t="shared" si="28"/>
        <v>3.9623504273504273</v>
      </c>
      <c r="K104" s="31">
        <f t="shared" ref="K104:K111" si="33">(2*(B104+C104+G104)+D104+E104+F104+H104+I104)/11</f>
        <v>3.9754467754467755</v>
      </c>
      <c r="L104" s="31">
        <f t="shared" ref="L104:L111" si="34">(2*(D104+E104+F104+H104)+B104+C104+G104+I104)/12</f>
        <v>3.8638746438746439</v>
      </c>
    </row>
    <row r="105" spans="1:12" x14ac:dyDescent="0.3">
      <c r="A105" t="s">
        <v>125</v>
      </c>
      <c r="B105" s="32">
        <f>4*($H$60-$K$57)/($K$58-$K$57)+1</f>
        <v>3</v>
      </c>
      <c r="C105" s="32">
        <f t="shared" si="29"/>
        <v>4.9238095238095241</v>
      </c>
      <c r="D105" s="32">
        <f t="shared" si="30"/>
        <v>2.333333333333333</v>
      </c>
      <c r="E105" s="32">
        <f t="shared" si="31"/>
        <v>4.2820512820512819</v>
      </c>
      <c r="F105" s="32">
        <f t="shared" si="32"/>
        <v>3.7555555555555555</v>
      </c>
      <c r="G105" s="32">
        <f>5-4*($F$60-$P$57)/($P$58-$P$57)</f>
        <v>5</v>
      </c>
      <c r="H105" s="32">
        <f>5-4*($G$60-$Q$57)/($Q$58-$Q$57)</f>
        <v>5</v>
      </c>
      <c r="I105">
        <v>5</v>
      </c>
      <c r="J105" s="31">
        <f t="shared" si="28"/>
        <v>4.1618437118437122</v>
      </c>
      <c r="K105" s="31">
        <f t="shared" si="33"/>
        <v>4.2016872016872009</v>
      </c>
      <c r="L105" s="31">
        <f t="shared" si="34"/>
        <v>4.0554741554741556</v>
      </c>
    </row>
    <row r="106" spans="1:12" x14ac:dyDescent="0.3">
      <c r="A106" t="s">
        <v>126</v>
      </c>
      <c r="B106" s="32">
        <f>4*($H$61-$K$57)/($K$58-$K$57)+1</f>
        <v>3</v>
      </c>
      <c r="C106" s="32">
        <f t="shared" si="29"/>
        <v>5</v>
      </c>
      <c r="D106" s="32">
        <f t="shared" si="30"/>
        <v>3.6666666666666665</v>
      </c>
      <c r="E106" s="32">
        <f t="shared" si="31"/>
        <v>4.4871794871794872</v>
      </c>
      <c r="F106" s="32">
        <f t="shared" si="32"/>
        <v>4.2377777777777776</v>
      </c>
      <c r="G106" s="32">
        <f>5-4*($F$61-$P$57)/($P$58-$P$57)</f>
        <v>4.666666666666667</v>
      </c>
      <c r="H106" s="32">
        <f>5-4*($G$61-$Q$57)/($Q$58-$Q$57)</f>
        <v>5</v>
      </c>
      <c r="I106">
        <v>5</v>
      </c>
      <c r="J106" s="31">
        <f t="shared" si="28"/>
        <v>4.3822863247863246</v>
      </c>
      <c r="K106" s="31">
        <f t="shared" si="33"/>
        <v>4.338632478632479</v>
      </c>
      <c r="L106" s="31">
        <f t="shared" si="34"/>
        <v>4.3708262108262108</v>
      </c>
    </row>
    <row r="107" spans="1:12" x14ac:dyDescent="0.3">
      <c r="A107" t="s">
        <v>127</v>
      </c>
      <c r="B107" s="32">
        <f>4*($H$62-$K$57)/($K$58-$K$57)+1</f>
        <v>3</v>
      </c>
      <c r="C107" s="32">
        <f t="shared" si="29"/>
        <v>5</v>
      </c>
      <c r="D107" s="32">
        <f t="shared" si="30"/>
        <v>2.333333333333333</v>
      </c>
      <c r="E107" s="32">
        <f t="shared" si="31"/>
        <v>4.2820512820512819</v>
      </c>
      <c r="F107" s="32">
        <f t="shared" si="32"/>
        <v>3.7555555555555555</v>
      </c>
      <c r="G107" s="32">
        <f>5-4*($F$62-$P$57)/($P$58-$P$57)</f>
        <v>5</v>
      </c>
      <c r="H107" s="32">
        <f>5-4*($G$62-$Q$57)/($Q$58-$Q$57)</f>
        <v>5</v>
      </c>
      <c r="I107">
        <v>1</v>
      </c>
      <c r="J107" s="31">
        <f t="shared" si="28"/>
        <v>3.6713675213675212</v>
      </c>
      <c r="K107" s="31">
        <f t="shared" si="33"/>
        <v>3.8519036519036516</v>
      </c>
      <c r="L107" s="31">
        <f t="shared" si="34"/>
        <v>3.7284900284900284</v>
      </c>
    </row>
    <row r="108" spans="1:12" x14ac:dyDescent="0.3">
      <c r="A108" t="s">
        <v>128</v>
      </c>
      <c r="B108" s="32">
        <f>4*($H$63-$K$57)/($K$58-$K$57)+1</f>
        <v>1</v>
      </c>
      <c r="C108" s="32">
        <v>0</v>
      </c>
      <c r="D108" s="32">
        <f t="shared" si="30"/>
        <v>4.3333333333333339</v>
      </c>
      <c r="E108" s="32">
        <f t="shared" si="31"/>
        <v>4.6923076923076925</v>
      </c>
      <c r="F108" s="32">
        <f t="shared" si="32"/>
        <v>4.3377777777777773</v>
      </c>
      <c r="G108" s="32">
        <f>5-4*($F$63-$P$57)/($P$58-$P$57)</f>
        <v>1.6666666666666665</v>
      </c>
      <c r="H108" s="32">
        <f>5-4*($G$63-$Q$57)/($Q$58-$Q$57)</f>
        <v>5</v>
      </c>
      <c r="I108">
        <v>5</v>
      </c>
      <c r="J108" s="31">
        <f t="shared" si="28"/>
        <v>3.2537606837606838</v>
      </c>
      <c r="K108" s="31">
        <f t="shared" si="33"/>
        <v>2.608795648795649</v>
      </c>
      <c r="L108" s="31">
        <f t="shared" si="34"/>
        <v>3.6994586894586892</v>
      </c>
    </row>
    <row r="109" spans="1:12" x14ac:dyDescent="0.3">
      <c r="A109" t="s">
        <v>129</v>
      </c>
      <c r="B109" s="32">
        <f>4*($H$64-$K$57)/($K$58-$K$57)+1</f>
        <v>2.333333333333333</v>
      </c>
      <c r="C109" s="32">
        <f t="shared" si="29"/>
        <v>5</v>
      </c>
      <c r="D109" s="32">
        <f t="shared" si="30"/>
        <v>2.333333333333333</v>
      </c>
      <c r="E109" s="32">
        <f t="shared" si="31"/>
        <v>4.2820512820512819</v>
      </c>
      <c r="F109" s="32">
        <f t="shared" si="32"/>
        <v>2.753333333333333</v>
      </c>
      <c r="G109" s="32">
        <f>5-4*($F$64-$P$57)/($P$58-$P$57)</f>
        <v>5</v>
      </c>
      <c r="H109" s="32">
        <f>5-4*($G$64-$Q$57)/($Q$58-$Q$57)</f>
        <v>5</v>
      </c>
      <c r="I109">
        <v>5</v>
      </c>
      <c r="J109" s="31">
        <f t="shared" si="28"/>
        <v>3.9627564102564103</v>
      </c>
      <c r="K109" s="31">
        <f t="shared" si="33"/>
        <v>4.0032167832167822</v>
      </c>
      <c r="L109" s="31">
        <f t="shared" si="34"/>
        <v>3.839230769230769</v>
      </c>
    </row>
    <row r="110" spans="1:12" x14ac:dyDescent="0.3">
      <c r="A110" t="s">
        <v>130</v>
      </c>
      <c r="B110" s="32">
        <f>4*($H$65-$K$57)/($K$58-$K$57)+1</f>
        <v>1</v>
      </c>
      <c r="C110" s="32">
        <f t="shared" si="29"/>
        <v>2.1047619047619044</v>
      </c>
      <c r="D110" s="32">
        <f t="shared" si="30"/>
        <v>5</v>
      </c>
      <c r="E110" s="32">
        <f t="shared" si="31"/>
        <v>4.8974358974358978</v>
      </c>
      <c r="F110" s="32">
        <f t="shared" si="32"/>
        <v>4.6288888888888886</v>
      </c>
      <c r="G110" s="32">
        <f>5-4*($F$65-$P$57)/($P$58-$P$57)</f>
        <v>5</v>
      </c>
      <c r="H110" s="32">
        <f>5-4*($G$65-$Q$57)/($Q$58-$Q$57)</f>
        <v>5</v>
      </c>
      <c r="I110">
        <v>5</v>
      </c>
      <c r="J110" s="31">
        <f t="shared" si="28"/>
        <v>4.0788858363858367</v>
      </c>
      <c r="K110" s="31">
        <f t="shared" si="33"/>
        <v>3.7032589632589632</v>
      </c>
      <c r="L110" s="31">
        <f t="shared" si="34"/>
        <v>4.3464509564509557</v>
      </c>
    </row>
    <row r="111" spans="1:12" x14ac:dyDescent="0.3">
      <c r="A111" t="s">
        <v>131</v>
      </c>
      <c r="B111" s="32">
        <f>4*($H$66-$K$57)/($K$58-$K$57)+1</f>
        <v>3</v>
      </c>
      <c r="C111" s="32">
        <f t="shared" si="29"/>
        <v>5</v>
      </c>
      <c r="D111" s="32">
        <f t="shared" si="30"/>
        <v>2.333333333333333</v>
      </c>
      <c r="E111" s="32">
        <f t="shared" si="31"/>
        <v>4.1794871794871797</v>
      </c>
      <c r="F111" s="32">
        <f t="shared" si="32"/>
        <v>3.695555555555555</v>
      </c>
      <c r="G111" s="32">
        <f>5-4*($F$66-$P$57)/($P$58-$P$57)</f>
        <v>4.833333333333333</v>
      </c>
      <c r="H111" s="32">
        <f>5-4*($G$66-$Q$57)/($Q$58-$Q$57)</f>
        <v>5</v>
      </c>
      <c r="I111">
        <v>5</v>
      </c>
      <c r="J111" s="31">
        <f t="shared" si="28"/>
        <v>4.1302136752136747</v>
      </c>
      <c r="K111" s="31">
        <f t="shared" si="33"/>
        <v>4.1704584304584307</v>
      </c>
      <c r="L111" s="31">
        <f t="shared" si="34"/>
        <v>4.0208404558404558</v>
      </c>
    </row>
    <row r="113" spans="1:12" x14ac:dyDescent="0.3">
      <c r="A113" s="1" t="s">
        <v>95</v>
      </c>
      <c r="B113" t="s">
        <v>111</v>
      </c>
      <c r="C113" t="s">
        <v>69</v>
      </c>
      <c r="D113" t="s">
        <v>68</v>
      </c>
      <c r="E113" t="s">
        <v>70</v>
      </c>
      <c r="F113" t="s">
        <v>67</v>
      </c>
      <c r="G113" t="s">
        <v>112</v>
      </c>
      <c r="H113" t="s">
        <v>113</v>
      </c>
      <c r="I113" t="s">
        <v>114</v>
      </c>
      <c r="J113" t="s">
        <v>132</v>
      </c>
      <c r="K113" t="s">
        <v>120</v>
      </c>
      <c r="L113" t="s">
        <v>121</v>
      </c>
    </row>
    <row r="114" spans="1:12" x14ac:dyDescent="0.3">
      <c r="A114" t="s">
        <v>123</v>
      </c>
      <c r="B114" s="32">
        <f>4*($H$58-$K$57)/($K$58-$K$57)+1</f>
        <v>3</v>
      </c>
      <c r="C114" s="32">
        <f>4*(D13-$L$65)/($L$60-$L$65)+1</f>
        <v>4.9740740740740739</v>
      </c>
      <c r="D114" s="32">
        <f>4*(C13-$M$57)/($M$58-$M$57)+1</f>
        <v>3</v>
      </c>
      <c r="E114" s="32">
        <f>4*(E13-$N$57)/($N$58-$N$57)+1</f>
        <v>4.1794871794871797</v>
      </c>
      <c r="F114" s="32">
        <f>5-4*(B13-$O$57)/($O$58-$O$57)</f>
        <v>3.6777777777777776</v>
      </c>
      <c r="G114" s="32">
        <f>5-4*($F$58-$P$57)/($P$58-$P$57)</f>
        <v>5</v>
      </c>
      <c r="H114" s="32">
        <f>5-4*($G$58-$Q$57)/($Q$58-$Q$57)</f>
        <v>3.666666666666667</v>
      </c>
      <c r="I114">
        <v>5</v>
      </c>
      <c r="J114" s="31">
        <f t="shared" ref="J114:J122" si="35">AVERAGE(B114:I114)</f>
        <v>4.0622507122507123</v>
      </c>
      <c r="K114" s="31">
        <f>(2*(B114+C114+G114)+D114+E114+F114+H114+I114)/11</f>
        <v>4.1338254338254341</v>
      </c>
      <c r="L114" s="31">
        <f>(2*(D114+E114+F114+H114)+B114+C114+G114+I114)/12</f>
        <v>3.9184947768281102</v>
      </c>
    </row>
    <row r="115" spans="1:12" x14ac:dyDescent="0.3">
      <c r="A115" s="13" t="s">
        <v>124</v>
      </c>
      <c r="B115" s="32">
        <f>4*($H$59-$K$57)/($K$58-$K$57)+1</f>
        <v>2.1111111111111107</v>
      </c>
      <c r="C115" s="32">
        <f t="shared" ref="C115:C122" si="36">4*(D14-$L$65)/($L$60-$L$65)+1</f>
        <v>3.4481481481481482</v>
      </c>
      <c r="D115" s="32">
        <f t="shared" ref="D115:D122" si="37">4*(C14-$M$57)/($M$58-$M$57)+1</f>
        <v>4.3333333333333339</v>
      </c>
      <c r="E115" s="32">
        <f t="shared" ref="E115:E122" si="38">4*(E14-$N$57)/($N$58-$N$57)+1</f>
        <v>4.8974358974358978</v>
      </c>
      <c r="F115" s="32">
        <f t="shared" ref="F115:F122" si="39">5-4*(B14-$O$57)/($O$58-$O$57)</f>
        <v>4.166666666666667</v>
      </c>
      <c r="G115" s="32">
        <f>5-4*($F$59-$P$57)/($P$58-$P$57)</f>
        <v>5</v>
      </c>
      <c r="H115" s="32">
        <f>5-4*($G$59-$Q$57)/($Q$58-$Q$57)</f>
        <v>5</v>
      </c>
      <c r="I115">
        <v>5</v>
      </c>
      <c r="J115" s="31">
        <f t="shared" si="35"/>
        <v>4.2445868945868952</v>
      </c>
      <c r="K115" s="31">
        <f t="shared" ref="K115:K122" si="40">(2*(B115+C115+G115)+D115+E115+F115+H115+I115)/11</f>
        <v>4.0469049469049461</v>
      </c>
      <c r="L115" s="31">
        <f t="shared" ref="L115:L122" si="41">(2*(D115+E115+F115+H115)+B115+C115+G115+I115)/12</f>
        <v>4.3628442545109216</v>
      </c>
    </row>
    <row r="116" spans="1:12" x14ac:dyDescent="0.3">
      <c r="A116" t="s">
        <v>125</v>
      </c>
      <c r="B116" s="32">
        <f>4*($H$60-$K$57)/($K$58-$K$57)+1</f>
        <v>3</v>
      </c>
      <c r="C116" s="32">
        <f t="shared" si="36"/>
        <v>4.9740740740740739</v>
      </c>
      <c r="D116" s="32">
        <f t="shared" si="37"/>
        <v>2.333333333333333</v>
      </c>
      <c r="E116" s="32">
        <f t="shared" si="38"/>
        <v>4.1794871794871797</v>
      </c>
      <c r="F116" s="32">
        <f t="shared" si="39"/>
        <v>3.4888888888888889</v>
      </c>
      <c r="G116" s="32">
        <f>5-4*($F$60-$P$57)/($P$58-$P$57)</f>
        <v>5</v>
      </c>
      <c r="H116" s="32">
        <f>5-4*($G$60-$Q$57)/($Q$58-$Q$57)</f>
        <v>5</v>
      </c>
      <c r="I116">
        <v>5</v>
      </c>
      <c r="J116" s="31">
        <f t="shared" si="35"/>
        <v>4.1219729344729341</v>
      </c>
      <c r="K116" s="31">
        <f t="shared" si="40"/>
        <v>4.1772597772597768</v>
      </c>
      <c r="L116" s="31">
        <f t="shared" si="41"/>
        <v>3.9981244064577397</v>
      </c>
    </row>
    <row r="117" spans="1:12" x14ac:dyDescent="0.3">
      <c r="A117" t="s">
        <v>126</v>
      </c>
      <c r="B117" s="32">
        <f>4*($H$61-$K$57)/($K$58-$K$57)+1</f>
        <v>3</v>
      </c>
      <c r="C117" s="32">
        <f t="shared" si="36"/>
        <v>5</v>
      </c>
      <c r="D117" s="32">
        <f t="shared" si="37"/>
        <v>3.6666666666666665</v>
      </c>
      <c r="E117" s="32">
        <f t="shared" si="38"/>
        <v>4.2820512820512819</v>
      </c>
      <c r="F117" s="32">
        <f t="shared" si="39"/>
        <v>3.8688888888888888</v>
      </c>
      <c r="G117" s="32">
        <f>5-4*($F$61-$P$57)/($P$58-$P$57)</f>
        <v>4.666666666666667</v>
      </c>
      <c r="H117" s="32">
        <f>5-4*($G$61-$Q$57)/($Q$58-$Q$57)</f>
        <v>5</v>
      </c>
      <c r="I117">
        <v>5</v>
      </c>
      <c r="J117" s="31">
        <f t="shared" si="35"/>
        <v>4.3105341880341879</v>
      </c>
      <c r="K117" s="31">
        <f t="shared" si="40"/>
        <v>4.2864491064491066</v>
      </c>
      <c r="L117" s="31">
        <f t="shared" si="41"/>
        <v>4.2751566951566948</v>
      </c>
    </row>
    <row r="118" spans="1:12" x14ac:dyDescent="0.3">
      <c r="A118" t="s">
        <v>127</v>
      </c>
      <c r="B118" s="32">
        <f>4*($H$62-$K$57)/($K$58-$K$57)+1</f>
        <v>3</v>
      </c>
      <c r="C118" s="32">
        <f t="shared" si="36"/>
        <v>4.9740740740740739</v>
      </c>
      <c r="D118" s="32">
        <f t="shared" si="37"/>
        <v>2.333333333333333</v>
      </c>
      <c r="E118" s="32">
        <f t="shared" si="38"/>
        <v>4.1794871794871797</v>
      </c>
      <c r="F118" s="32">
        <f t="shared" si="39"/>
        <v>3.4888888888888889</v>
      </c>
      <c r="G118" s="32">
        <f>5-4*($F$62-$P$57)/($P$58-$P$57)</f>
        <v>5</v>
      </c>
      <c r="H118" s="32">
        <f>5-4*($G$62-$Q$57)/($Q$58-$Q$57)</f>
        <v>5</v>
      </c>
      <c r="I118">
        <v>1</v>
      </c>
      <c r="J118" s="31">
        <f t="shared" si="35"/>
        <v>3.6219729344729341</v>
      </c>
      <c r="K118" s="31">
        <f t="shared" si="40"/>
        <v>3.8136234136234135</v>
      </c>
      <c r="L118" s="31">
        <f t="shared" si="41"/>
        <v>3.6647910731244067</v>
      </c>
    </row>
    <row r="119" spans="1:12" x14ac:dyDescent="0.3">
      <c r="A119" t="s">
        <v>128</v>
      </c>
      <c r="B119" s="32">
        <f>4*($H$63-$K$57)/($K$58-$K$57)+1</f>
        <v>1</v>
      </c>
      <c r="C119" s="32">
        <v>0</v>
      </c>
      <c r="D119" s="32">
        <f t="shared" si="37"/>
        <v>4.3333333333333339</v>
      </c>
      <c r="E119" s="32">
        <f t="shared" si="38"/>
        <v>4.6923076923076925</v>
      </c>
      <c r="F119" s="32">
        <f t="shared" si="39"/>
        <v>4.1866666666666665</v>
      </c>
      <c r="G119" s="32">
        <f>5-4*($F$63-$P$57)/($P$58-$P$57)</f>
        <v>1.6666666666666665</v>
      </c>
      <c r="H119" s="32">
        <f>5-4*($G$63-$Q$57)/($Q$58-$Q$57)</f>
        <v>5</v>
      </c>
      <c r="I119">
        <v>5</v>
      </c>
      <c r="J119" s="31">
        <f t="shared" si="35"/>
        <v>3.2348717948717951</v>
      </c>
      <c r="K119" s="31">
        <f t="shared" si="40"/>
        <v>2.5950582750582751</v>
      </c>
      <c r="L119" s="31">
        <f t="shared" si="41"/>
        <v>3.6742735042735042</v>
      </c>
    </row>
    <row r="120" spans="1:12" x14ac:dyDescent="0.3">
      <c r="A120" t="s">
        <v>129</v>
      </c>
      <c r="B120" s="32">
        <f>4*($H$64-$K$57)/($K$58-$K$57)+1</f>
        <v>2.333333333333333</v>
      </c>
      <c r="C120" s="32">
        <f t="shared" si="36"/>
        <v>4.9740740740740739</v>
      </c>
      <c r="D120" s="32">
        <f t="shared" si="37"/>
        <v>2.333333333333333</v>
      </c>
      <c r="E120" s="32">
        <f t="shared" si="38"/>
        <v>4.1794871794871797</v>
      </c>
      <c r="F120" s="32">
        <f t="shared" si="39"/>
        <v>2.5844444444444443</v>
      </c>
      <c r="G120" s="32">
        <f>5-4*($F$64-$P$57)/($P$58-$P$57)</f>
        <v>5</v>
      </c>
      <c r="H120" s="32">
        <f>5-4*($G$64-$Q$57)/($Q$58-$Q$57)</f>
        <v>5</v>
      </c>
      <c r="I120">
        <v>5</v>
      </c>
      <c r="J120" s="31">
        <f t="shared" si="35"/>
        <v>3.9255840455840452</v>
      </c>
      <c r="K120" s="31">
        <f t="shared" si="40"/>
        <v>3.9738254338254335</v>
      </c>
      <c r="L120" s="31">
        <f t="shared" si="41"/>
        <v>3.7918281101614433</v>
      </c>
    </row>
    <row r="121" spans="1:12" x14ac:dyDescent="0.3">
      <c r="A121" t="s">
        <v>130</v>
      </c>
      <c r="B121" s="32">
        <f>4*($H$65-$K$57)/($K$58-$K$57)+1</f>
        <v>1</v>
      </c>
      <c r="C121" s="32">
        <f t="shared" si="36"/>
        <v>2.1851851851851847</v>
      </c>
      <c r="D121" s="32">
        <f t="shared" si="37"/>
        <v>5</v>
      </c>
      <c r="E121" s="32">
        <f t="shared" si="38"/>
        <v>4.8974358974358978</v>
      </c>
      <c r="F121" s="32">
        <f t="shared" si="39"/>
        <v>4.6288888888888886</v>
      </c>
      <c r="G121" s="32">
        <f>5-4*($F$65-$P$57)/($P$58-$P$57)</f>
        <v>5</v>
      </c>
      <c r="H121" s="32">
        <f>5-4*($G$65-$Q$57)/($Q$58-$Q$57)</f>
        <v>5</v>
      </c>
      <c r="I121">
        <v>5</v>
      </c>
      <c r="J121" s="31">
        <f t="shared" si="35"/>
        <v>4.0889387464387461</v>
      </c>
      <c r="K121" s="31">
        <f t="shared" si="40"/>
        <v>3.717881377881378</v>
      </c>
      <c r="L121" s="31">
        <f t="shared" si="41"/>
        <v>4.3531528964862298</v>
      </c>
    </row>
    <row r="122" spans="1:12" x14ac:dyDescent="0.3">
      <c r="A122" t="s">
        <v>131</v>
      </c>
      <c r="B122" s="32">
        <f>4*($H$66-$K$57)/($K$58-$K$57)+1</f>
        <v>3</v>
      </c>
      <c r="C122" s="32">
        <f t="shared" si="36"/>
        <v>4.9407407407407415</v>
      </c>
      <c r="D122" s="32">
        <f t="shared" si="37"/>
        <v>2.333333333333333</v>
      </c>
      <c r="E122" s="32">
        <f t="shared" si="38"/>
        <v>3.9743589743589745</v>
      </c>
      <c r="F122" s="32">
        <f t="shared" si="39"/>
        <v>3.4955555555555557</v>
      </c>
      <c r="G122" s="32">
        <f>5-4*($F$66-$P$57)/($P$58-$P$57)</f>
        <v>4.833333333333333</v>
      </c>
      <c r="H122" s="32">
        <f>5-4*($G$66-$Q$57)/($Q$58-$Q$57)</f>
        <v>5</v>
      </c>
      <c r="I122">
        <v>5</v>
      </c>
      <c r="J122" s="31">
        <f t="shared" si="35"/>
        <v>4.0721652421652426</v>
      </c>
      <c r="K122" s="31">
        <f t="shared" si="40"/>
        <v>4.1228541828541827</v>
      </c>
      <c r="L122" s="31">
        <f t="shared" si="41"/>
        <v>3.9483808167141503</v>
      </c>
    </row>
    <row r="124" spans="1:12" x14ac:dyDescent="0.3">
      <c r="A124" s="1" t="s">
        <v>96</v>
      </c>
      <c r="B124" t="s">
        <v>111</v>
      </c>
      <c r="C124" t="s">
        <v>69</v>
      </c>
      <c r="D124" t="s">
        <v>68</v>
      </c>
      <c r="E124" t="s">
        <v>70</v>
      </c>
      <c r="F124" t="s">
        <v>67</v>
      </c>
      <c r="G124" t="s">
        <v>112</v>
      </c>
      <c r="H124" t="s">
        <v>113</v>
      </c>
      <c r="I124" t="s">
        <v>114</v>
      </c>
      <c r="J124" t="s">
        <v>132</v>
      </c>
      <c r="K124" t="s">
        <v>120</v>
      </c>
      <c r="L124" t="s">
        <v>121</v>
      </c>
    </row>
    <row r="125" spans="1:12" x14ac:dyDescent="0.3">
      <c r="A125" t="s">
        <v>123</v>
      </c>
      <c r="B125" s="32">
        <f>4*($H$58-$K$57)/($K$58-$K$57)+1</f>
        <v>3</v>
      </c>
      <c r="C125" s="32">
        <f>4*(J13-$L$65)/($L$61-$L$65)+1</f>
        <v>4.8666666666666671</v>
      </c>
      <c r="D125" s="32">
        <f>4*(I13-$M$57)/($M$58-$M$57)+1</f>
        <v>3</v>
      </c>
      <c r="E125" s="32">
        <f>4*(K13-$N$57)/($N$58-$N$57)+1</f>
        <v>3.9743589743589745</v>
      </c>
      <c r="F125" s="32">
        <f>5-4*(H13-$O$57)/($O$58-$O$57)</f>
        <v>2.6711111111111112</v>
      </c>
      <c r="G125" s="32">
        <f>5-4*($F$58-$P$57)/($P$58-$P$57)</f>
        <v>5</v>
      </c>
      <c r="H125" s="32">
        <f>5-4*($G$58-$Q$57)/($Q$58-$Q$57)</f>
        <v>3.666666666666667</v>
      </c>
      <c r="I125">
        <v>5</v>
      </c>
      <c r="J125" s="31">
        <f t="shared" ref="J125:J133" si="42">AVERAGE(B125:I125)</f>
        <v>3.8973504273504278</v>
      </c>
      <c r="K125" s="31">
        <f>(2*(B125+C125+G125)+D125+E125+F125+H125+I125)/11</f>
        <v>4.0041336441336446</v>
      </c>
      <c r="L125" s="31">
        <f>(2*(D125+E125+F125+H125)+B125+C125+G125+I125)/12</f>
        <v>3.7075783475783477</v>
      </c>
    </row>
    <row r="126" spans="1:12" x14ac:dyDescent="0.3">
      <c r="A126" s="13" t="s">
        <v>124</v>
      </c>
      <c r="B126" s="32">
        <f>4*($H$59-$K$57)/($K$58-$K$57)+1</f>
        <v>2.1111111111111107</v>
      </c>
      <c r="C126" s="32">
        <f t="shared" ref="C126:C133" si="43">4*(J14-$L$65)/($L$61-$L$65)+1</f>
        <v>3.49009009009009</v>
      </c>
      <c r="D126" s="32">
        <f t="shared" ref="D126:D133" si="44">4*(I14-$M$57)/($M$58-$M$57)+1</f>
        <v>4.3333333333333339</v>
      </c>
      <c r="E126" s="32">
        <f t="shared" ref="E126:E133" si="45">4*(K14-$N$57)/($N$58-$N$57)+1</f>
        <v>4.8974358974358978</v>
      </c>
      <c r="F126" s="32">
        <f t="shared" ref="F126:F133" si="46">5-4*(H14-$O$57)/($O$58-$O$57)</f>
        <v>4.166666666666667</v>
      </c>
      <c r="G126" s="32">
        <f>5-4*($F$59-$P$57)/($P$58-$P$57)</f>
        <v>5</v>
      </c>
      <c r="H126" s="32">
        <f>5-4*($G$59-$Q$57)/($Q$58-$Q$57)</f>
        <v>5</v>
      </c>
      <c r="I126">
        <v>5</v>
      </c>
      <c r="J126" s="31">
        <f t="shared" si="42"/>
        <v>4.249829637329638</v>
      </c>
      <c r="K126" s="31">
        <f t="shared" ref="K126:K133" si="47">(2*(B126+C126+G126)+D126+E126+F126+H126+I126)/11</f>
        <v>4.0545307545307541</v>
      </c>
      <c r="L126" s="31">
        <f t="shared" ref="L126:L133" si="48">(2*(D126+E126+F126+H126)+B126+C126+G126+I126)/12</f>
        <v>4.3663394163394171</v>
      </c>
    </row>
    <row r="127" spans="1:12" x14ac:dyDescent="0.3">
      <c r="A127" t="s">
        <v>125</v>
      </c>
      <c r="B127" s="32">
        <f>4*($H$60-$K$57)/($K$58-$K$57)+1</f>
        <v>3</v>
      </c>
      <c r="C127" s="32">
        <f t="shared" si="43"/>
        <v>4.8666666666666671</v>
      </c>
      <c r="D127" s="32">
        <f t="shared" si="44"/>
        <v>1.6666666666666665</v>
      </c>
      <c r="E127" s="32">
        <f t="shared" si="45"/>
        <v>3.8717948717948718</v>
      </c>
      <c r="F127" s="32">
        <f t="shared" si="46"/>
        <v>2.4377777777777774</v>
      </c>
      <c r="G127" s="32">
        <f>5-4*($F$60-$P$57)/($P$58-$P$57)</f>
        <v>5</v>
      </c>
      <c r="H127" s="32">
        <f>5-4*($G$60-$Q$57)/($Q$58-$Q$57)</f>
        <v>5</v>
      </c>
      <c r="I127">
        <v>5</v>
      </c>
      <c r="J127" s="31">
        <f t="shared" si="42"/>
        <v>3.8553632478632478</v>
      </c>
      <c r="K127" s="31">
        <f t="shared" si="47"/>
        <v>3.9735975135975137</v>
      </c>
      <c r="L127" s="31">
        <f t="shared" si="48"/>
        <v>3.6515954415954415</v>
      </c>
    </row>
    <row r="128" spans="1:12" x14ac:dyDescent="0.3">
      <c r="A128" t="s">
        <v>126</v>
      </c>
      <c r="B128" s="32">
        <f>4*($H$61-$K$57)/($K$58-$K$57)+1</f>
        <v>3</v>
      </c>
      <c r="C128" s="32">
        <f t="shared" si="43"/>
        <v>4.9351351351351349</v>
      </c>
      <c r="D128" s="32">
        <f t="shared" si="44"/>
        <v>3</v>
      </c>
      <c r="E128" s="32">
        <f t="shared" si="45"/>
        <v>4.1794871794871797</v>
      </c>
      <c r="F128" s="32">
        <f t="shared" si="46"/>
        <v>3.7355555555555555</v>
      </c>
      <c r="G128" s="32">
        <f>5-4*($F$61-$P$57)/($P$58-$P$57)</f>
        <v>4.666666666666667</v>
      </c>
      <c r="H128" s="32">
        <f>5-4*($G$61-$Q$57)/($Q$58-$Q$57)</f>
        <v>5</v>
      </c>
      <c r="I128">
        <v>5</v>
      </c>
      <c r="J128" s="31">
        <f t="shared" si="42"/>
        <v>4.1896055671055672</v>
      </c>
      <c r="K128" s="31">
        <f t="shared" si="47"/>
        <v>4.1926042126042127</v>
      </c>
      <c r="L128" s="31">
        <f t="shared" si="48"/>
        <v>4.1193239393239391</v>
      </c>
    </row>
    <row r="129" spans="1:12" x14ac:dyDescent="0.3">
      <c r="A129" t="s">
        <v>127</v>
      </c>
      <c r="B129" s="32">
        <f>4*($H$62-$K$57)/($K$58-$K$57)+1</f>
        <v>3</v>
      </c>
      <c r="C129" s="32">
        <f t="shared" si="43"/>
        <v>4.6828828828828826</v>
      </c>
      <c r="D129" s="32">
        <f t="shared" si="44"/>
        <v>3</v>
      </c>
      <c r="E129" s="32">
        <f t="shared" si="45"/>
        <v>4.8974358974358978</v>
      </c>
      <c r="F129" s="32">
        <f t="shared" si="46"/>
        <v>3.0533333333333337</v>
      </c>
      <c r="G129" s="32">
        <f>5-4*($F$62-$P$57)/($P$58-$P$57)</f>
        <v>5</v>
      </c>
      <c r="H129" s="32">
        <f>5-4*($G$62-$Q$57)/($Q$58-$Q$57)</f>
        <v>5</v>
      </c>
      <c r="I129">
        <v>1</v>
      </c>
      <c r="J129" s="31">
        <f t="shared" si="42"/>
        <v>3.7042065142065144</v>
      </c>
      <c r="K129" s="31">
        <f t="shared" si="47"/>
        <v>3.8469577269577271</v>
      </c>
      <c r="L129" s="31">
        <f t="shared" si="48"/>
        <v>3.7987017787017785</v>
      </c>
    </row>
    <row r="130" spans="1:12" x14ac:dyDescent="0.3">
      <c r="A130" t="s">
        <v>128</v>
      </c>
      <c r="B130" s="32">
        <f>4*($H$63-$K$57)/($K$58-$K$57)+1</f>
        <v>1</v>
      </c>
      <c r="C130" s="32">
        <v>0</v>
      </c>
      <c r="D130" s="32">
        <f t="shared" si="44"/>
        <v>4.3333333333333339</v>
      </c>
      <c r="E130" s="32">
        <f t="shared" si="45"/>
        <v>4.8974358974358978</v>
      </c>
      <c r="F130" s="32">
        <f t="shared" si="46"/>
        <v>3.8177777777777777</v>
      </c>
      <c r="G130" s="32">
        <f>5-4*($F$63-$P$57)/($P$58-$P$57)</f>
        <v>1.6666666666666665</v>
      </c>
      <c r="H130" s="32">
        <f>5-4*($G$63-$Q$57)/($Q$58-$Q$57)</f>
        <v>5</v>
      </c>
      <c r="I130">
        <v>5</v>
      </c>
      <c r="J130" s="31">
        <f t="shared" si="42"/>
        <v>3.2144017094017094</v>
      </c>
      <c r="K130" s="31">
        <f t="shared" si="47"/>
        <v>2.5801709401709405</v>
      </c>
      <c r="L130" s="31">
        <f t="shared" si="48"/>
        <v>3.6469800569800572</v>
      </c>
    </row>
    <row r="131" spans="1:12" x14ac:dyDescent="0.3">
      <c r="A131" t="s">
        <v>129</v>
      </c>
      <c r="B131" s="32">
        <f>4*($H$64-$K$57)/($K$58-$K$57)+1</f>
        <v>2.333333333333333</v>
      </c>
      <c r="C131" s="32">
        <f t="shared" si="43"/>
        <v>3.781981981981982</v>
      </c>
      <c r="D131" s="32">
        <f t="shared" si="44"/>
        <v>3.6666666666666665</v>
      </c>
      <c r="E131" s="32">
        <f t="shared" si="45"/>
        <v>4.8974358974358978</v>
      </c>
      <c r="F131" s="32">
        <f t="shared" si="46"/>
        <v>3.1222222222222222</v>
      </c>
      <c r="G131" s="32">
        <f>5-4*($F$64-$P$57)/($P$58-$P$57)</f>
        <v>5</v>
      </c>
      <c r="H131" s="32">
        <f>5-4*($G$64-$Q$57)/($Q$58-$Q$57)</f>
        <v>5</v>
      </c>
      <c r="I131">
        <v>5</v>
      </c>
      <c r="J131" s="31">
        <f t="shared" si="42"/>
        <v>4.1002050127050129</v>
      </c>
      <c r="K131" s="31">
        <f t="shared" si="47"/>
        <v>3.9924504924504927</v>
      </c>
      <c r="L131" s="31">
        <f t="shared" si="48"/>
        <v>4.1239970739970744</v>
      </c>
    </row>
    <row r="132" spans="1:12" x14ac:dyDescent="0.3">
      <c r="A132" t="s">
        <v>130</v>
      </c>
      <c r="B132" s="32">
        <f>4*($H$65-$K$57)/($K$58-$K$57)+1</f>
        <v>1</v>
      </c>
      <c r="C132" s="32">
        <f t="shared" si="43"/>
        <v>2.2612612612612608</v>
      </c>
      <c r="D132" s="32">
        <f t="shared" si="44"/>
        <v>5</v>
      </c>
      <c r="E132" s="32">
        <f t="shared" si="45"/>
        <v>4.8974358974358978</v>
      </c>
      <c r="F132" s="32">
        <f t="shared" si="46"/>
        <v>4.6288888888888886</v>
      </c>
      <c r="G132" s="32">
        <f>5-4*($F$65-$P$57)/($P$58-$P$57)</f>
        <v>5</v>
      </c>
      <c r="H132" s="32">
        <f>5-4*($G$65-$Q$57)/($Q$58-$Q$57)</f>
        <v>5</v>
      </c>
      <c r="I132">
        <v>5</v>
      </c>
      <c r="J132" s="31">
        <f t="shared" si="42"/>
        <v>4.0984482559482558</v>
      </c>
      <c r="K132" s="31">
        <f t="shared" si="47"/>
        <v>3.7317133917133916</v>
      </c>
      <c r="L132" s="31">
        <f t="shared" si="48"/>
        <v>4.359492569492569</v>
      </c>
    </row>
    <row r="133" spans="1:12" x14ac:dyDescent="0.3">
      <c r="A133" t="s">
        <v>131</v>
      </c>
      <c r="B133" s="32">
        <f>4*($H$66-$K$57)/($K$58-$K$57)+1</f>
        <v>3</v>
      </c>
      <c r="C133" s="32">
        <f t="shared" si="43"/>
        <v>4.6756756756756754</v>
      </c>
      <c r="D133" s="32">
        <f t="shared" si="44"/>
        <v>3</v>
      </c>
      <c r="E133" s="32">
        <f t="shared" si="45"/>
        <v>4.8974358974358978</v>
      </c>
      <c r="F133" s="32">
        <f t="shared" si="46"/>
        <v>3.0466666666666669</v>
      </c>
      <c r="G133" s="32">
        <f>5-4*($F$66-$P$57)/($P$58-$P$57)</f>
        <v>4.833333333333333</v>
      </c>
      <c r="H133" s="32">
        <f>5-4*($G$66-$Q$57)/($Q$58-$Q$57)</f>
        <v>5</v>
      </c>
      <c r="I133">
        <v>5</v>
      </c>
      <c r="J133" s="31">
        <f t="shared" si="42"/>
        <v>4.1816389466389463</v>
      </c>
      <c r="K133" s="31">
        <f t="shared" si="47"/>
        <v>4.1783745983745986</v>
      </c>
      <c r="L133" s="31">
        <f t="shared" si="48"/>
        <v>4.1164345114345116</v>
      </c>
    </row>
    <row r="135" spans="1:12" x14ac:dyDescent="0.3">
      <c r="A135" s="1" t="s">
        <v>97</v>
      </c>
      <c r="B135" t="s">
        <v>111</v>
      </c>
      <c r="C135" t="s">
        <v>69</v>
      </c>
      <c r="D135" t="s">
        <v>68</v>
      </c>
      <c r="E135" t="s">
        <v>70</v>
      </c>
      <c r="F135" t="s">
        <v>67</v>
      </c>
      <c r="G135" t="s">
        <v>112</v>
      </c>
      <c r="H135" t="s">
        <v>113</v>
      </c>
      <c r="I135" t="s">
        <v>114</v>
      </c>
      <c r="J135" t="s">
        <v>132</v>
      </c>
      <c r="K135" t="s">
        <v>120</v>
      </c>
      <c r="L135" t="s">
        <v>121</v>
      </c>
    </row>
    <row r="136" spans="1:12" x14ac:dyDescent="0.3">
      <c r="A136" t="s">
        <v>123</v>
      </c>
      <c r="B136" s="32">
        <f>4*($H$58-$K$57)/($K$58-$K$57)+1</f>
        <v>3</v>
      </c>
      <c r="C136" s="32">
        <f>4*(P13-$L$65)/($L$62-$L$65)+1</f>
        <v>4.7017543859649109</v>
      </c>
      <c r="D136" s="32">
        <f>4*(O13-$M$57)/($M$58-$M$57)+1</f>
        <v>3</v>
      </c>
      <c r="E136" s="32">
        <f>4*(Q13-$N$57)/($N$58-$N$57)+1</f>
        <v>4.6923076923076925</v>
      </c>
      <c r="F136" s="32">
        <f>5-4*(N13-$O$57)/($O$58-$O$57)</f>
        <v>2.9399999999999995</v>
      </c>
      <c r="G136" s="32">
        <f>5-4*($F$58-$P$57)/($P$58-$P$57)</f>
        <v>5</v>
      </c>
      <c r="H136" s="32">
        <f>5-4*($G$58-$Q$57)/($Q$58-$Q$57)</f>
        <v>3.666666666666667</v>
      </c>
      <c r="I136">
        <v>5</v>
      </c>
      <c r="J136" s="31">
        <f t="shared" ref="J136:J144" si="49">AVERAGE(B136:I136)</f>
        <v>4.0000910931174083</v>
      </c>
      <c r="K136" s="31">
        <f>(2*(B136+C136+G136)+D136+E136+F136+H136+I136)/11</f>
        <v>4.0638621028094706</v>
      </c>
      <c r="L136" s="31">
        <f>(2*(D136+E136+F136+H136)+B136+C136+G136+I136)/12</f>
        <v>3.8583085919928024</v>
      </c>
    </row>
    <row r="137" spans="1:12" x14ac:dyDescent="0.3">
      <c r="A137" s="13" t="s">
        <v>124</v>
      </c>
      <c r="B137" s="32">
        <f>4*($H$59-$K$57)/($K$58-$K$57)+1</f>
        <v>2.1111111111111107</v>
      </c>
      <c r="C137" s="32">
        <f t="shared" ref="C137:C144" si="50">4*(P14-$L$65)/($L$62-$L$65)+1</f>
        <v>3.5298245614035082</v>
      </c>
      <c r="D137" s="32">
        <f t="shared" ref="D137:D144" si="51">4*(O14-$M$57)/($M$58-$M$57)+1</f>
        <v>4.3333333333333339</v>
      </c>
      <c r="E137" s="32">
        <f t="shared" ref="E137:E144" si="52">4*(Q14-$N$57)/($N$58-$N$57)+1</f>
        <v>4.8974358974358978</v>
      </c>
      <c r="F137" s="32">
        <f t="shared" ref="F137:F144" si="53">5-4*(N14-$O$57)/($O$58-$O$57)</f>
        <v>4.166666666666667</v>
      </c>
      <c r="G137" s="32">
        <f>5-4*($F$59-$P$57)/($P$58-$P$57)</f>
        <v>5</v>
      </c>
      <c r="H137" s="32">
        <f>5-4*($G$59-$Q$57)/($Q$58-$Q$57)</f>
        <v>5</v>
      </c>
      <c r="I137">
        <v>5</v>
      </c>
      <c r="J137" s="31">
        <f t="shared" si="49"/>
        <v>4.2547964462438141</v>
      </c>
      <c r="K137" s="31">
        <f t="shared" ref="K137:K144" si="54">(2*(B137+C137+G137)+D137+E137+F137+H137+I137)/11</f>
        <v>4.061755203860467</v>
      </c>
      <c r="L137" s="31">
        <f t="shared" ref="L137:L144" si="55">(2*(D137+E137+F137+H137)+B137+C137+G137+I137)/12</f>
        <v>4.3696506222822018</v>
      </c>
    </row>
    <row r="138" spans="1:12" x14ac:dyDescent="0.3">
      <c r="A138" t="s">
        <v>125</v>
      </c>
      <c r="B138" s="32">
        <f>4*($H$60-$K$57)/($K$58-$K$57)+1</f>
        <v>3</v>
      </c>
      <c r="C138" s="32">
        <f t="shared" si="50"/>
        <v>4.7017543859649109</v>
      </c>
      <c r="D138" s="32">
        <f t="shared" si="51"/>
        <v>2.333333333333333</v>
      </c>
      <c r="E138" s="32">
        <f t="shared" si="52"/>
        <v>4.5897435897435894</v>
      </c>
      <c r="F138" s="32">
        <f t="shared" si="53"/>
        <v>2.6399999999999992</v>
      </c>
      <c r="G138" s="32">
        <f>5-4*($F$60-$P$57)/($P$58-$P$57)</f>
        <v>5</v>
      </c>
      <c r="H138" s="32">
        <f>5-4*($G$60-$Q$57)/($Q$58-$Q$57)</f>
        <v>5</v>
      </c>
      <c r="I138">
        <v>5</v>
      </c>
      <c r="J138" s="31">
        <f t="shared" si="49"/>
        <v>4.0331039136302289</v>
      </c>
      <c r="K138" s="31">
        <f t="shared" si="54"/>
        <v>4.0878714268187943</v>
      </c>
      <c r="L138" s="31">
        <f t="shared" si="55"/>
        <v>3.9023256860098958</v>
      </c>
    </row>
    <row r="139" spans="1:12" x14ac:dyDescent="0.3">
      <c r="A139" t="s">
        <v>126</v>
      </c>
      <c r="B139" s="32">
        <f>4*($H$61-$K$57)/($K$58-$K$57)+1</f>
        <v>3</v>
      </c>
      <c r="C139" s="32">
        <f t="shared" si="50"/>
        <v>4.9298245614035077</v>
      </c>
      <c r="D139" s="32">
        <f t="shared" si="51"/>
        <v>3</v>
      </c>
      <c r="E139" s="32">
        <f t="shared" si="52"/>
        <v>4.1794871794871797</v>
      </c>
      <c r="F139" s="32">
        <f t="shared" si="53"/>
        <v>3.7177777777777776</v>
      </c>
      <c r="G139" s="32">
        <f>5-4*($F$61-$P$57)/($P$58-$P$57)</f>
        <v>4.666666666666667</v>
      </c>
      <c r="H139" s="32">
        <f>5-4*($G$61-$Q$57)/($Q$58-$Q$57)</f>
        <v>5</v>
      </c>
      <c r="I139">
        <v>5</v>
      </c>
      <c r="J139" s="31">
        <f t="shared" si="49"/>
        <v>4.1867195231668912</v>
      </c>
      <c r="K139" s="31">
        <f t="shared" si="54"/>
        <v>4.1900224921277553</v>
      </c>
      <c r="L139" s="31">
        <f t="shared" si="55"/>
        <v>4.1159184285500077</v>
      </c>
    </row>
    <row r="140" spans="1:12" x14ac:dyDescent="0.3">
      <c r="A140" t="s">
        <v>127</v>
      </c>
      <c r="B140" s="32">
        <f>4*($H$62-$K$57)/($K$58-$K$57)+1</f>
        <v>3</v>
      </c>
      <c r="C140" s="32">
        <f t="shared" si="50"/>
        <v>4.6877192982456126</v>
      </c>
      <c r="D140" s="32">
        <f t="shared" si="51"/>
        <v>3</v>
      </c>
      <c r="E140" s="32">
        <f t="shared" si="52"/>
        <v>4.8974358974358978</v>
      </c>
      <c r="F140" s="32">
        <f t="shared" si="53"/>
        <v>3.0422222222222222</v>
      </c>
      <c r="G140" s="32">
        <f>5-4*($F$62-$P$57)/($P$58-$P$57)</f>
        <v>5</v>
      </c>
      <c r="H140" s="32">
        <f>5-4*($G$62-$Q$57)/($Q$58-$Q$57)</f>
        <v>5</v>
      </c>
      <c r="I140">
        <v>1</v>
      </c>
      <c r="J140" s="31">
        <f t="shared" si="49"/>
        <v>3.7034221772379667</v>
      </c>
      <c r="K140" s="31">
        <f t="shared" si="54"/>
        <v>3.8468269741953947</v>
      </c>
      <c r="L140" s="31">
        <f t="shared" si="55"/>
        <v>3.7972529614634873</v>
      </c>
    </row>
    <row r="141" spans="1:12" x14ac:dyDescent="0.3">
      <c r="A141" t="s">
        <v>128</v>
      </c>
      <c r="B141" s="32">
        <f>4*($H$63-$K$57)/($K$58-$K$57)+1</f>
        <v>1</v>
      </c>
      <c r="C141" s="32">
        <v>0</v>
      </c>
      <c r="D141" s="32">
        <f t="shared" si="51"/>
        <v>4.3333333333333339</v>
      </c>
      <c r="E141" s="32">
        <f t="shared" si="52"/>
        <v>4.8974358974358978</v>
      </c>
      <c r="F141" s="32">
        <f t="shared" si="53"/>
        <v>3.8177777777777777</v>
      </c>
      <c r="G141" s="32">
        <f>5-4*($F$63-$P$57)/($P$58-$P$57)</f>
        <v>1.6666666666666665</v>
      </c>
      <c r="H141" s="32">
        <f>5-4*($G$63-$Q$57)/($Q$58-$Q$57)</f>
        <v>5</v>
      </c>
      <c r="I141">
        <v>5</v>
      </c>
      <c r="J141" s="31">
        <f t="shared" si="49"/>
        <v>3.2144017094017094</v>
      </c>
      <c r="K141" s="31">
        <f t="shared" si="54"/>
        <v>2.5801709401709405</v>
      </c>
      <c r="L141" s="31">
        <f t="shared" si="55"/>
        <v>3.6469800569800572</v>
      </c>
    </row>
    <row r="142" spans="1:12" x14ac:dyDescent="0.3">
      <c r="A142" t="s">
        <v>129</v>
      </c>
      <c r="B142" s="32">
        <f>4*($H$64-$K$57)/($K$58-$K$57)+1</f>
        <v>2.333333333333333</v>
      </c>
      <c r="C142" s="32">
        <f t="shared" si="50"/>
        <v>3.8140350877192972</v>
      </c>
      <c r="D142" s="32">
        <f t="shared" si="51"/>
        <v>3.6666666666666665</v>
      </c>
      <c r="E142" s="32">
        <f t="shared" si="52"/>
        <v>4.8974358974358978</v>
      </c>
      <c r="F142" s="32">
        <f t="shared" si="53"/>
        <v>3.1222222222222222</v>
      </c>
      <c r="G142" s="32">
        <f>5-4*($F$64-$P$57)/($P$58-$P$57)</f>
        <v>5</v>
      </c>
      <c r="H142" s="32">
        <f>5-4*($G$64-$Q$57)/($Q$58-$Q$57)</f>
        <v>5</v>
      </c>
      <c r="I142">
        <v>5</v>
      </c>
      <c r="J142" s="31">
        <f t="shared" si="49"/>
        <v>4.1042116509221778</v>
      </c>
      <c r="K142" s="31">
        <f t="shared" si="54"/>
        <v>3.998278329857277</v>
      </c>
      <c r="L142" s="31">
        <f t="shared" si="55"/>
        <v>4.1266681661418501</v>
      </c>
    </row>
    <row r="143" spans="1:12" x14ac:dyDescent="0.3">
      <c r="A143" t="s">
        <v>130</v>
      </c>
      <c r="B143" s="32">
        <f>4*($H$65-$K$57)/($K$58-$K$57)+1</f>
        <v>1</v>
      </c>
      <c r="C143" s="32">
        <f t="shared" si="50"/>
        <v>2.3333333333333321</v>
      </c>
      <c r="D143" s="32">
        <f t="shared" si="51"/>
        <v>5</v>
      </c>
      <c r="E143" s="32">
        <f t="shared" si="52"/>
        <v>4.8974358974358978</v>
      </c>
      <c r="F143" s="32">
        <f t="shared" si="53"/>
        <v>4.6288888888888886</v>
      </c>
      <c r="G143" s="32">
        <f>5-4*($F$65-$P$57)/($P$58-$P$57)</f>
        <v>5</v>
      </c>
      <c r="H143" s="32">
        <f>5-4*($G$65-$Q$57)/($Q$58-$Q$57)</f>
        <v>5</v>
      </c>
      <c r="I143">
        <v>5</v>
      </c>
      <c r="J143" s="31">
        <f t="shared" si="49"/>
        <v>4.1074572649572652</v>
      </c>
      <c r="K143" s="31">
        <f t="shared" si="54"/>
        <v>3.7448174048174043</v>
      </c>
      <c r="L143" s="31">
        <f t="shared" si="55"/>
        <v>4.3654985754985747</v>
      </c>
    </row>
    <row r="144" spans="1:12" x14ac:dyDescent="0.3">
      <c r="A144" t="s">
        <v>131</v>
      </c>
      <c r="B144" s="32">
        <f>4*($H$66-$K$57)/($K$58-$K$57)+1</f>
        <v>3</v>
      </c>
      <c r="C144" s="32">
        <f t="shared" si="50"/>
        <v>4.6877192982456126</v>
      </c>
      <c r="D144" s="32">
        <f t="shared" si="51"/>
        <v>3</v>
      </c>
      <c r="E144" s="32">
        <f t="shared" si="52"/>
        <v>4.8974358974358978</v>
      </c>
      <c r="F144" s="32">
        <f t="shared" si="53"/>
        <v>3.04</v>
      </c>
      <c r="G144" s="32">
        <f>5-4*($F$66-$P$57)/($P$58-$P$57)</f>
        <v>4.833333333333333</v>
      </c>
      <c r="H144" s="32">
        <f>5-4*($G$66-$Q$57)/($Q$58-$Q$57)</f>
        <v>5</v>
      </c>
      <c r="I144">
        <v>5</v>
      </c>
      <c r="J144" s="31">
        <f t="shared" si="49"/>
        <v>4.1823110661268554</v>
      </c>
      <c r="K144" s="31">
        <f t="shared" si="54"/>
        <v>4.1799582873267083</v>
      </c>
      <c r="L144" s="31">
        <f t="shared" si="55"/>
        <v>4.1163270355375614</v>
      </c>
    </row>
    <row r="146" spans="1:12" x14ac:dyDescent="0.3">
      <c r="A146" s="1" t="s">
        <v>98</v>
      </c>
      <c r="B146" t="s">
        <v>111</v>
      </c>
      <c r="C146" t="s">
        <v>69</v>
      </c>
      <c r="D146" t="s">
        <v>68</v>
      </c>
      <c r="E146" t="s">
        <v>70</v>
      </c>
      <c r="F146" t="s">
        <v>67</v>
      </c>
      <c r="G146" t="s">
        <v>112</v>
      </c>
      <c r="H146" t="s">
        <v>113</v>
      </c>
      <c r="I146" t="s">
        <v>114</v>
      </c>
      <c r="J146" t="s">
        <v>132</v>
      </c>
      <c r="K146" t="s">
        <v>120</v>
      </c>
      <c r="L146" t="s">
        <v>121</v>
      </c>
    </row>
    <row r="147" spans="1:12" x14ac:dyDescent="0.3">
      <c r="A147" t="s">
        <v>123</v>
      </c>
      <c r="B147" s="32">
        <f>4*($H$58-$K$57)/($K$58-$K$57)+1</f>
        <v>3</v>
      </c>
      <c r="C147" s="32">
        <f>4*(D24-$L$65)/($L$63-$L$65)+1</f>
        <v>4.6683760683760687</v>
      </c>
      <c r="D147" s="32">
        <f>4*(C24-$M$57)/($M$58-$M$57)+1</f>
        <v>3</v>
      </c>
      <c r="E147" s="32">
        <f>4*(E24-$N$57)/($N$58-$N$57)+1</f>
        <v>4.6923076923076925</v>
      </c>
      <c r="F147" s="32">
        <f>5-4*(B24-$O$57)/($O$58-$O$57)</f>
        <v>2.78</v>
      </c>
      <c r="G147" s="32">
        <f>5-4*($F$58-$P$57)/($P$58-$P$57)</f>
        <v>5</v>
      </c>
      <c r="H147" s="32">
        <f>5-4*($G$58-$Q$57)/($Q$58-$Q$57)</f>
        <v>3.666666666666667</v>
      </c>
      <c r="I147">
        <v>5</v>
      </c>
      <c r="J147" s="31">
        <f t="shared" ref="J147:J155" si="56">AVERAGE(B147:I147)</f>
        <v>3.975918803418804</v>
      </c>
      <c r="K147" s="31">
        <f>(2*(B147+C147+G147)+D147+E147+F147+H147+I147)/11</f>
        <v>4.0432478632478634</v>
      </c>
      <c r="L147" s="31">
        <f>(2*(D147+E147+F147+H147)+B147+C147+G147+I147)/12</f>
        <v>3.8288603988603991</v>
      </c>
    </row>
    <row r="148" spans="1:12" x14ac:dyDescent="0.3">
      <c r="A148" s="13" t="s">
        <v>124</v>
      </c>
      <c r="B148" s="32">
        <f>4*($H$59-$K$57)/($K$58-$K$57)+1</f>
        <v>2.1111111111111107</v>
      </c>
      <c r="C148" s="32">
        <f t="shared" ref="C148:C155" si="57">4*(D25-$L$65)/($L$63-$L$65)+1</f>
        <v>3.5675213675213673</v>
      </c>
      <c r="D148" s="32">
        <f>4*(C25-$M$57)/($M$58-$M$57)+1</f>
        <v>4.3333333333333339</v>
      </c>
      <c r="E148" s="32">
        <f t="shared" ref="E148:E155" si="58">4*(E25-$N$57)/($N$58-$N$57)+1</f>
        <v>4.8974358974358978</v>
      </c>
      <c r="F148" s="32">
        <f t="shared" ref="F148:F155" si="59">5-4*(B25-$O$57)/($O$58-$O$57)</f>
        <v>4.3955555555555552</v>
      </c>
      <c r="G148" s="32">
        <f>5-4*($F$59-$P$57)/($P$58-$P$57)</f>
        <v>5</v>
      </c>
      <c r="H148" s="32">
        <f>5-4*($G$59-$Q$57)/($Q$58-$Q$57)</f>
        <v>5</v>
      </c>
      <c r="I148">
        <v>5</v>
      </c>
      <c r="J148" s="31">
        <f t="shared" si="56"/>
        <v>4.2881196581196583</v>
      </c>
      <c r="K148" s="31">
        <f t="shared" ref="K148:K155" si="60">(2*(B148+C148+G148)+D148+E148+F148+H148+I148)/11</f>
        <v>4.0894172494172487</v>
      </c>
      <c r="L148" s="31">
        <f t="shared" ref="L148:L155" si="61">(2*(D148+E148+F148+H148)+B148+C148+G148+I148)/12</f>
        <v>4.4109401709401714</v>
      </c>
    </row>
    <row r="149" spans="1:12" x14ac:dyDescent="0.3">
      <c r="A149" t="s">
        <v>125</v>
      </c>
      <c r="B149" s="32">
        <f>4*($H$60-$K$57)/($K$58-$K$57)+1</f>
        <v>3</v>
      </c>
      <c r="C149" s="32">
        <f t="shared" si="57"/>
        <v>4.6683760683760687</v>
      </c>
      <c r="D149" s="32">
        <f t="shared" ref="D149:D155" si="62">4*(C26-$M$57)/($M$58-$M$57)+1</f>
        <v>2.333333333333333</v>
      </c>
      <c r="E149" s="32">
        <f t="shared" si="58"/>
        <v>4.2820512820512819</v>
      </c>
      <c r="F149" s="32">
        <f t="shared" si="59"/>
        <v>2.4133333333333331</v>
      </c>
      <c r="G149" s="32">
        <f>5-4*($F$60-$P$57)/($P$58-$P$57)</f>
        <v>5</v>
      </c>
      <c r="H149" s="32">
        <f>5-4*($G$60-$Q$57)/($Q$58-$Q$57)</f>
        <v>5</v>
      </c>
      <c r="I149">
        <v>5</v>
      </c>
      <c r="J149" s="31">
        <f t="shared" si="56"/>
        <v>3.9621367521367521</v>
      </c>
      <c r="K149" s="31">
        <f t="shared" si="60"/>
        <v>4.033224553224553</v>
      </c>
      <c r="L149" s="31">
        <f t="shared" si="61"/>
        <v>3.8104843304843303</v>
      </c>
    </row>
    <row r="150" spans="1:12" x14ac:dyDescent="0.3">
      <c r="A150" t="s">
        <v>126</v>
      </c>
      <c r="B150" s="32">
        <f>4*($H$61-$K$57)/($K$58-$K$57)+1</f>
        <v>3</v>
      </c>
      <c r="C150" s="32">
        <f t="shared" si="57"/>
        <v>4.8632478632478628</v>
      </c>
      <c r="D150" s="32">
        <f t="shared" si="62"/>
        <v>3</v>
      </c>
      <c r="E150" s="32">
        <f t="shared" si="58"/>
        <v>4.1794871794871797</v>
      </c>
      <c r="F150" s="32">
        <f t="shared" si="59"/>
        <v>2.8066666666666662</v>
      </c>
      <c r="G150" s="32">
        <f>5-4*($F$61-$P$57)/($P$58-$P$57)</f>
        <v>4.666666666666667</v>
      </c>
      <c r="H150" s="32">
        <f>5-4*($G$61-$Q$57)/($Q$58-$Q$57)</f>
        <v>5</v>
      </c>
      <c r="I150">
        <v>5</v>
      </c>
      <c r="J150" s="31">
        <f t="shared" si="56"/>
        <v>4.0645085470085469</v>
      </c>
      <c r="K150" s="31">
        <f t="shared" si="60"/>
        <v>4.095089355089355</v>
      </c>
      <c r="L150" s="31">
        <f t="shared" si="61"/>
        <v>3.9585185185185185</v>
      </c>
    </row>
    <row r="151" spans="1:12" x14ac:dyDescent="0.3">
      <c r="A151" t="s">
        <v>127</v>
      </c>
      <c r="B151" s="32">
        <f>4*($H$62-$K$57)/($K$58-$K$57)+1</f>
        <v>3</v>
      </c>
      <c r="C151" s="32">
        <f t="shared" si="57"/>
        <v>4.6683760683760687</v>
      </c>
      <c r="D151" s="32">
        <f t="shared" si="62"/>
        <v>3</v>
      </c>
      <c r="E151" s="32">
        <f t="shared" si="58"/>
        <v>4.8974358974358978</v>
      </c>
      <c r="F151" s="32">
        <f t="shared" si="59"/>
        <v>2.9244444444444442</v>
      </c>
      <c r="G151" s="32">
        <f>5-4*($F$62-$P$57)/($P$58-$P$57)</f>
        <v>5</v>
      </c>
      <c r="H151" s="32">
        <f>5-4*($G$62-$Q$57)/($Q$58-$Q$57)</f>
        <v>5</v>
      </c>
      <c r="I151">
        <v>1</v>
      </c>
      <c r="J151" s="31">
        <f t="shared" si="56"/>
        <v>3.6862820512820513</v>
      </c>
      <c r="K151" s="31">
        <f t="shared" si="60"/>
        <v>3.832602952602953</v>
      </c>
      <c r="L151" s="31">
        <f t="shared" si="61"/>
        <v>3.7760113960113961</v>
      </c>
    </row>
    <row r="152" spans="1:12" x14ac:dyDescent="0.3">
      <c r="A152" t="s">
        <v>128</v>
      </c>
      <c r="B152" s="32">
        <f>4*($H$63-$K$57)/($K$58-$K$57)+1</f>
        <v>1</v>
      </c>
      <c r="C152" s="32">
        <v>0</v>
      </c>
      <c r="D152" s="32">
        <f t="shared" si="62"/>
        <v>4.3333333333333339</v>
      </c>
      <c r="E152" s="32">
        <f t="shared" si="58"/>
        <v>4.8974358974358978</v>
      </c>
      <c r="F152" s="32">
        <f t="shared" si="59"/>
        <v>3.8177777777777777</v>
      </c>
      <c r="G152" s="32">
        <f>5-4*($F$63-$P$57)/($P$58-$P$57)</f>
        <v>1.6666666666666665</v>
      </c>
      <c r="H152" s="32">
        <f>5-4*($G$63-$Q$57)/($Q$58-$Q$57)</f>
        <v>5</v>
      </c>
      <c r="I152">
        <v>5</v>
      </c>
      <c r="J152" s="31">
        <f t="shared" si="56"/>
        <v>3.2144017094017094</v>
      </c>
      <c r="K152" s="31">
        <f t="shared" si="60"/>
        <v>2.5801709401709405</v>
      </c>
      <c r="L152" s="31">
        <f t="shared" si="61"/>
        <v>3.6469800569800572</v>
      </c>
    </row>
    <row r="153" spans="1:12" x14ac:dyDescent="0.3">
      <c r="A153" t="s">
        <v>129</v>
      </c>
      <c r="B153" s="32">
        <f>4*($H$64-$K$57)/($K$58-$K$57)+1</f>
        <v>2.333333333333333</v>
      </c>
      <c r="C153" s="32">
        <f t="shared" si="57"/>
        <v>3.8444444444444446</v>
      </c>
      <c r="D153" s="32">
        <f t="shared" si="62"/>
        <v>3.6666666666666665</v>
      </c>
      <c r="E153" s="32">
        <f t="shared" si="58"/>
        <v>4.8974358974358978</v>
      </c>
      <c r="F153" s="32">
        <f t="shared" si="59"/>
        <v>3.1222222222222222</v>
      </c>
      <c r="G153" s="32">
        <f>5-4*($F$64-$P$57)/($P$58-$P$57)</f>
        <v>5</v>
      </c>
      <c r="H153" s="32">
        <f>5-4*($G$64-$Q$57)/($Q$58-$Q$57)</f>
        <v>5</v>
      </c>
      <c r="I153">
        <v>5</v>
      </c>
      <c r="J153" s="31">
        <f t="shared" si="56"/>
        <v>4.1080128205128208</v>
      </c>
      <c r="K153" s="31">
        <f t="shared" si="60"/>
        <v>4.0038073038073039</v>
      </c>
      <c r="L153" s="31">
        <f t="shared" si="61"/>
        <v>4.1292022792022793</v>
      </c>
    </row>
    <row r="154" spans="1:12" x14ac:dyDescent="0.3">
      <c r="A154" t="s">
        <v>130</v>
      </c>
      <c r="B154" s="32">
        <f>4*($H$65-$K$57)/($K$58-$K$57)+1</f>
        <v>1</v>
      </c>
      <c r="C154" s="32">
        <f t="shared" si="57"/>
        <v>2.4017094017094012</v>
      </c>
      <c r="D154" s="32">
        <f t="shared" si="62"/>
        <v>5</v>
      </c>
      <c r="E154" s="32">
        <f t="shared" si="58"/>
        <v>4.8974358974358978</v>
      </c>
      <c r="F154" s="32">
        <f t="shared" si="59"/>
        <v>4.6288888888888886</v>
      </c>
      <c r="G154" s="32">
        <f>5-4*($F$65-$P$57)/($P$58-$P$57)</f>
        <v>5</v>
      </c>
      <c r="H154" s="32">
        <f>5-4*($G$65-$Q$57)/($Q$58-$Q$57)</f>
        <v>5</v>
      </c>
      <c r="I154">
        <v>5</v>
      </c>
      <c r="J154" s="31">
        <f t="shared" si="56"/>
        <v>4.1160042735042737</v>
      </c>
      <c r="K154" s="31">
        <f t="shared" si="60"/>
        <v>3.7572494172494171</v>
      </c>
      <c r="L154" s="31">
        <f t="shared" si="61"/>
        <v>4.3711965811965809</v>
      </c>
    </row>
    <row r="155" spans="1:12" x14ac:dyDescent="0.3">
      <c r="A155" t="s">
        <v>131</v>
      </c>
      <c r="B155" s="32">
        <f>4*($H$66-$K$57)/($K$58-$K$57)+1</f>
        <v>3</v>
      </c>
      <c r="C155" s="32">
        <f t="shared" si="57"/>
        <v>4.6376068376068371</v>
      </c>
      <c r="D155" s="32">
        <f t="shared" si="62"/>
        <v>3</v>
      </c>
      <c r="E155" s="32">
        <f t="shared" si="58"/>
        <v>4.6923076923076925</v>
      </c>
      <c r="F155" s="32">
        <f t="shared" si="59"/>
        <v>2.9133333333333331</v>
      </c>
      <c r="G155" s="32">
        <f>5-4*($F$66-$P$57)/($P$58-$P$57)</f>
        <v>4.833333333333333</v>
      </c>
      <c r="H155" s="32">
        <f>5-4*($G$66-$Q$57)/($Q$58-$Q$57)</f>
        <v>5</v>
      </c>
      <c r="I155">
        <v>5</v>
      </c>
      <c r="J155" s="31">
        <f t="shared" si="56"/>
        <v>4.1345726495726494</v>
      </c>
      <c r="K155" s="31">
        <f t="shared" si="60"/>
        <v>4.1406837606837605</v>
      </c>
      <c r="L155" s="31">
        <f t="shared" si="61"/>
        <v>4.0568518518518522</v>
      </c>
    </row>
    <row r="157" spans="1:12" x14ac:dyDescent="0.3">
      <c r="A157" s="1" t="s">
        <v>99</v>
      </c>
      <c r="B157" t="s">
        <v>111</v>
      </c>
      <c r="C157" t="s">
        <v>69</v>
      </c>
      <c r="D157" t="s">
        <v>68</v>
      </c>
      <c r="E157" t="s">
        <v>70</v>
      </c>
      <c r="F157" t="s">
        <v>67</v>
      </c>
      <c r="G157" t="s">
        <v>112</v>
      </c>
      <c r="H157" t="s">
        <v>113</v>
      </c>
      <c r="I157" t="s">
        <v>114</v>
      </c>
      <c r="J157" t="s">
        <v>132</v>
      </c>
      <c r="K157" t="s">
        <v>120</v>
      </c>
      <c r="L157" t="s">
        <v>121</v>
      </c>
    </row>
    <row r="158" spans="1:12" x14ac:dyDescent="0.3">
      <c r="A158" t="s">
        <v>123</v>
      </c>
      <c r="B158" s="32">
        <f>4*($H$58-$K$57)/($K$58-$K$57)+1</f>
        <v>3</v>
      </c>
      <c r="C158" s="32">
        <f>4*(J24-$L$65)/($L$64-$L$65)+1</f>
        <v>3.6033333333333326</v>
      </c>
      <c r="D158" s="32">
        <f>4*(I24-$M$57)/($M$58-$M$57)+1</f>
        <v>3.6666666666666665</v>
      </c>
      <c r="E158" s="32">
        <f>4*(K24-$N$57)/($N$58-$N$57)+1</f>
        <v>4.6923076923076925</v>
      </c>
      <c r="F158" s="32">
        <f>5-4*(H24-$O$57)/($O$58-$O$57)</f>
        <v>3.9555555555555557</v>
      </c>
      <c r="G158" s="32">
        <f>5-4*($F$58-$P$57)/($P$58-$P$57)</f>
        <v>5</v>
      </c>
      <c r="H158" s="32">
        <f>5-4*($G$58-$Q$57)/($Q$58-$Q$57)</f>
        <v>3.666666666666667</v>
      </c>
      <c r="I158">
        <v>5</v>
      </c>
      <c r="J158" s="31">
        <f t="shared" ref="J158:J166" si="63">AVERAGE(B158:I158)</f>
        <v>4.0730662393162396</v>
      </c>
      <c r="K158" s="31">
        <f>(2*(B158+C158+G158)+D158+E158+F158+H158+I158)/11</f>
        <v>4.0170784770784769</v>
      </c>
      <c r="L158" s="31">
        <f>(2*(D158+E158+F158+H158)+B158+C158+G158+I158)/12</f>
        <v>4.0471438746438748</v>
      </c>
    </row>
    <row r="159" spans="1:12" x14ac:dyDescent="0.3">
      <c r="A159" s="13" t="s">
        <v>124</v>
      </c>
      <c r="B159" s="32">
        <f>4*($H$59-$K$57)/($K$58-$K$57)+1</f>
        <v>2.1111111111111107</v>
      </c>
      <c r="C159" s="32">
        <f t="shared" ref="C159:C166" si="64">4*(J25-$L$65)/($L$64-$L$65)+1</f>
        <v>3.6033333333333326</v>
      </c>
      <c r="D159" s="32">
        <f t="shared" ref="D159:D166" si="65">4*(I25-$M$57)/($M$58-$M$57)+1</f>
        <v>4.3333333333333339</v>
      </c>
      <c r="E159" s="32">
        <f t="shared" ref="E159:E166" si="66">4*(K25-$N$57)/($N$58-$N$57)+1</f>
        <v>4.8974358974358978</v>
      </c>
      <c r="F159" s="32">
        <f t="shared" ref="F159:F166" si="67">5-4*(H25-$O$57)/($O$58-$O$57)</f>
        <v>4.1688888888888886</v>
      </c>
      <c r="G159" s="32">
        <f>5-4*($F$59-$P$57)/($P$58-$P$57)</f>
        <v>5</v>
      </c>
      <c r="H159" s="32">
        <f>5-4*($G$59-$Q$57)/($Q$58-$Q$57)</f>
        <v>5</v>
      </c>
      <c r="I159">
        <v>5</v>
      </c>
      <c r="J159" s="31">
        <f t="shared" si="63"/>
        <v>4.2642628205128208</v>
      </c>
      <c r="K159" s="31">
        <f t="shared" ref="K159:K166" si="68">(2*(B159+C159+G159)+D159+E159+F159+H159+I159)/11</f>
        <v>4.0753224553224552</v>
      </c>
      <c r="L159" s="31">
        <f t="shared" ref="L159:L166" si="69">(2*(D159+E159+F159+H159)+B159+C159+G159+I159)/12</f>
        <v>4.3761467236467242</v>
      </c>
    </row>
    <row r="160" spans="1:12" x14ac:dyDescent="0.3">
      <c r="A160" t="s">
        <v>125</v>
      </c>
      <c r="B160" s="32">
        <f>4*($H$60-$K$57)/($K$58-$K$57)+1</f>
        <v>3</v>
      </c>
      <c r="C160" s="32">
        <f t="shared" si="64"/>
        <v>3.6033333333333326</v>
      </c>
      <c r="D160" s="32">
        <f t="shared" si="65"/>
        <v>3</v>
      </c>
      <c r="E160" s="32">
        <f t="shared" si="66"/>
        <v>4.0769230769230766</v>
      </c>
      <c r="F160" s="32">
        <f t="shared" si="67"/>
        <v>3.1444444444444448</v>
      </c>
      <c r="G160" s="32">
        <f>5-4*($F$60-$P$57)/($P$58-$P$57)</f>
        <v>5</v>
      </c>
      <c r="H160" s="32">
        <f>5-4*($G$60-$Q$57)/($Q$58-$Q$57)</f>
        <v>5</v>
      </c>
      <c r="I160">
        <v>5</v>
      </c>
      <c r="J160" s="31">
        <f t="shared" si="63"/>
        <v>3.9780876068376068</v>
      </c>
      <c r="K160" s="31">
        <f t="shared" si="68"/>
        <v>3.9480031080031073</v>
      </c>
      <c r="L160" s="31">
        <f t="shared" si="69"/>
        <v>3.920505698005698</v>
      </c>
    </row>
    <row r="161" spans="1:12" x14ac:dyDescent="0.3">
      <c r="A161" t="s">
        <v>126</v>
      </c>
      <c r="B161" s="32">
        <f>4*($H$61-$K$57)/($K$58-$K$57)+1</f>
        <v>3</v>
      </c>
      <c r="C161" s="32">
        <f t="shared" si="64"/>
        <v>3.6033333333333326</v>
      </c>
      <c r="D161" s="32">
        <f t="shared" si="65"/>
        <v>3.6666666666666665</v>
      </c>
      <c r="E161" s="32">
        <f t="shared" si="66"/>
        <v>4.8974358974358978</v>
      </c>
      <c r="F161" s="32">
        <f t="shared" si="67"/>
        <v>4.3111111111111109</v>
      </c>
      <c r="G161" s="32">
        <f>5-4*($F$61-$P$57)/($P$58-$P$57)</f>
        <v>4.666666666666667</v>
      </c>
      <c r="H161" s="32">
        <f>5-4*($G$61-$Q$57)/($Q$58-$Q$57)</f>
        <v>5</v>
      </c>
      <c r="I161">
        <v>5</v>
      </c>
      <c r="J161" s="31">
        <f t="shared" si="63"/>
        <v>4.2681517094017094</v>
      </c>
      <c r="K161" s="31">
        <f t="shared" si="68"/>
        <v>4.1286557886557889</v>
      </c>
      <c r="L161" s="31">
        <f t="shared" si="69"/>
        <v>4.335035612535612</v>
      </c>
    </row>
    <row r="162" spans="1:12" x14ac:dyDescent="0.3">
      <c r="A162" t="s">
        <v>127</v>
      </c>
      <c r="B162" s="32">
        <f>4*($H$62-$K$57)/($K$58-$K$57)+1</f>
        <v>3</v>
      </c>
      <c r="C162" s="32">
        <f t="shared" si="64"/>
        <v>3.6033333333333326</v>
      </c>
      <c r="D162" s="32">
        <f t="shared" si="65"/>
        <v>3.6666666666666665</v>
      </c>
      <c r="E162" s="32">
        <f t="shared" si="66"/>
        <v>4.8974358974358978</v>
      </c>
      <c r="F162" s="32">
        <f t="shared" si="67"/>
        <v>4.1733333333333338</v>
      </c>
      <c r="G162" s="32">
        <f>5-4*($F$62-$P$57)/($P$58-$P$57)</f>
        <v>5</v>
      </c>
      <c r="H162" s="32">
        <f>5-4*($G$62-$Q$57)/($Q$58-$Q$57)</f>
        <v>5</v>
      </c>
      <c r="I162">
        <v>1</v>
      </c>
      <c r="J162" s="31">
        <f t="shared" si="63"/>
        <v>3.7925961538461541</v>
      </c>
      <c r="K162" s="31">
        <f t="shared" si="68"/>
        <v>3.8131002331002333</v>
      </c>
      <c r="L162" s="31">
        <f t="shared" si="69"/>
        <v>4.0065170940170942</v>
      </c>
    </row>
    <row r="163" spans="1:12" x14ac:dyDescent="0.3">
      <c r="A163" t="s">
        <v>128</v>
      </c>
      <c r="B163" s="32">
        <f>4*($H$63-$K$57)/($K$58-$K$57)+1</f>
        <v>1</v>
      </c>
      <c r="C163" s="32">
        <v>0</v>
      </c>
      <c r="D163" s="32">
        <f t="shared" si="65"/>
        <v>4.3333333333333339</v>
      </c>
      <c r="E163" s="32">
        <f t="shared" si="66"/>
        <v>4.8974358974358978</v>
      </c>
      <c r="F163" s="32">
        <f t="shared" si="67"/>
        <v>4.7088888888888887</v>
      </c>
      <c r="G163" s="32">
        <f>5-4*($F$63-$P$57)/($P$58-$P$57)</f>
        <v>1.6666666666666665</v>
      </c>
      <c r="H163" s="32">
        <f>5-4*($G$63-$Q$57)/($Q$58-$Q$57)</f>
        <v>5</v>
      </c>
      <c r="I163">
        <v>5</v>
      </c>
      <c r="J163" s="31">
        <f t="shared" si="63"/>
        <v>3.3257905982905984</v>
      </c>
      <c r="K163" s="31">
        <f t="shared" si="68"/>
        <v>2.6611810411810413</v>
      </c>
      <c r="L163" s="31">
        <f t="shared" si="69"/>
        <v>3.7954985754985753</v>
      </c>
    </row>
    <row r="164" spans="1:12" x14ac:dyDescent="0.3">
      <c r="A164" t="s">
        <v>129</v>
      </c>
      <c r="B164" s="32">
        <f>4*($H$64-$K$57)/($K$58-$K$57)+1</f>
        <v>2.333333333333333</v>
      </c>
      <c r="C164" s="32">
        <f t="shared" si="64"/>
        <v>3.8733333333333326</v>
      </c>
      <c r="D164" s="32">
        <f t="shared" si="65"/>
        <v>3.6666666666666665</v>
      </c>
      <c r="E164" s="32">
        <f t="shared" si="66"/>
        <v>4.8974358974358978</v>
      </c>
      <c r="F164" s="32">
        <f t="shared" si="67"/>
        <v>3.1222222222222222</v>
      </c>
      <c r="G164" s="32">
        <f>5-4*($F$64-$P$57)/($P$58-$P$57)</f>
        <v>5</v>
      </c>
      <c r="H164" s="32">
        <f>5-4*($G$64-$Q$57)/($Q$58-$Q$57)</f>
        <v>5</v>
      </c>
      <c r="I164">
        <v>5</v>
      </c>
      <c r="J164" s="31">
        <f t="shared" si="63"/>
        <v>4.1116239316239316</v>
      </c>
      <c r="K164" s="31">
        <f t="shared" si="68"/>
        <v>4.0090598290598285</v>
      </c>
      <c r="L164" s="31">
        <f t="shared" si="69"/>
        <v>4.1316096866096865</v>
      </c>
    </row>
    <row r="165" spans="1:12" x14ac:dyDescent="0.3">
      <c r="A165" t="s">
        <v>130</v>
      </c>
      <c r="B165" s="32">
        <f>4*($H$65-$K$57)/($K$58-$K$57)+1</f>
        <v>1</v>
      </c>
      <c r="C165" s="32">
        <f t="shared" si="64"/>
        <v>2.4666666666666659</v>
      </c>
      <c r="D165" s="32">
        <f t="shared" si="65"/>
        <v>5</v>
      </c>
      <c r="E165" s="32">
        <f t="shared" si="66"/>
        <v>4.8974358974358978</v>
      </c>
      <c r="F165" s="32">
        <f t="shared" si="67"/>
        <v>4.6288888888888886</v>
      </c>
      <c r="G165" s="32">
        <f>5-4*($F$65-$P$57)/($P$58-$P$57)</f>
        <v>5</v>
      </c>
      <c r="H165" s="32">
        <f>5-4*($G$65-$Q$57)/($Q$58-$Q$57)</f>
        <v>5</v>
      </c>
      <c r="I165">
        <v>5</v>
      </c>
      <c r="J165" s="31">
        <f t="shared" si="63"/>
        <v>4.1241239316239309</v>
      </c>
      <c r="K165" s="31">
        <f t="shared" si="68"/>
        <v>3.7690598290598287</v>
      </c>
      <c r="L165" s="31">
        <f t="shared" si="69"/>
        <v>4.3766096866096866</v>
      </c>
    </row>
    <row r="166" spans="1:12" x14ac:dyDescent="0.3">
      <c r="A166" t="s">
        <v>131</v>
      </c>
      <c r="B166" s="32">
        <f>4*($H$66-$K$57)/($K$58-$K$57)+1</f>
        <v>3</v>
      </c>
      <c r="C166" s="32">
        <f t="shared" si="64"/>
        <v>3.6033333333333326</v>
      </c>
      <c r="D166" s="32">
        <f t="shared" si="65"/>
        <v>3.6666666666666665</v>
      </c>
      <c r="E166" s="32">
        <f t="shared" si="66"/>
        <v>4.8974358974358978</v>
      </c>
      <c r="F166" s="32">
        <f t="shared" si="67"/>
        <v>4.3133333333333335</v>
      </c>
      <c r="G166" s="32">
        <f>5-4*($F$66-$P$57)/($P$58-$P$57)</f>
        <v>4.833333333333333</v>
      </c>
      <c r="H166" s="32">
        <f>5-4*($G$66-$Q$57)/($Q$58-$Q$57)</f>
        <v>5</v>
      </c>
      <c r="I166">
        <v>5</v>
      </c>
      <c r="J166" s="31">
        <f t="shared" si="63"/>
        <v>4.2892628205128203</v>
      </c>
      <c r="K166" s="31">
        <f t="shared" si="68"/>
        <v>4.1591608391608395</v>
      </c>
      <c r="L166" s="31">
        <f t="shared" si="69"/>
        <v>4.3492948717948723</v>
      </c>
    </row>
    <row r="168" spans="1:12" x14ac:dyDescent="0.3">
      <c r="A168" s="1" t="s">
        <v>100</v>
      </c>
      <c r="B168" t="s">
        <v>111</v>
      </c>
      <c r="C168" t="s">
        <v>69</v>
      </c>
      <c r="D168" t="s">
        <v>68</v>
      </c>
      <c r="E168" t="s">
        <v>70</v>
      </c>
      <c r="F168" t="s">
        <v>67</v>
      </c>
      <c r="G168" t="s">
        <v>112</v>
      </c>
      <c r="H168" t="s">
        <v>113</v>
      </c>
      <c r="I168" t="s">
        <v>114</v>
      </c>
      <c r="J168" t="s">
        <v>132</v>
      </c>
      <c r="K168" t="s">
        <v>120</v>
      </c>
      <c r="L168" t="s">
        <v>121</v>
      </c>
    </row>
    <row r="169" spans="1:12" x14ac:dyDescent="0.3">
      <c r="A169" t="s">
        <v>123</v>
      </c>
      <c r="B169" s="32">
        <f>4*($H$58-$K$57)/($K$58-$K$57)+1</f>
        <v>3</v>
      </c>
      <c r="C169" s="32">
        <f>4*(P24-$L$65)/($M$60-$L$65)+1</f>
        <v>3.6373983739837401</v>
      </c>
      <c r="D169" s="32">
        <f>4*(O24-$M$57)/($M$58-$M$57)+1</f>
        <v>3.6666666666666665</v>
      </c>
      <c r="E169" s="32">
        <f>4*(Q24-$N$57)/($N$58-$N$57)+1</f>
        <v>4.6923076923076925</v>
      </c>
      <c r="F169" s="32">
        <f>5-4*(N24-$O$57)/($O$58-$O$57)</f>
        <v>3.9555555555555557</v>
      </c>
      <c r="G169" s="32">
        <f>5-4*($F$58-$P$57)/($P$58-$P$57)</f>
        <v>5</v>
      </c>
      <c r="H169" s="32">
        <f>5-4*($G$58-$Q$57)/($Q$58-$Q$57)</f>
        <v>3.666666666666667</v>
      </c>
      <c r="I169">
        <v>5</v>
      </c>
      <c r="J169" s="31">
        <f t="shared" ref="J169:J177" si="70">AVERAGE(B169:I169)</f>
        <v>4.0773243693975409</v>
      </c>
      <c r="K169" s="31">
        <f>(2*(B169+C169+G169)+D169+E169+F169+H169+I169)/11</f>
        <v>4.0232721208330968</v>
      </c>
      <c r="L169" s="31">
        <f>(2*(D169+E169+F169+H169)+B169+C169+G169+I169)/12</f>
        <v>4.0499826280314091</v>
      </c>
    </row>
    <row r="170" spans="1:12" x14ac:dyDescent="0.3">
      <c r="A170" s="13" t="s">
        <v>124</v>
      </c>
      <c r="B170" s="32">
        <f>4*($H$59-$K$57)/($K$58-$K$57)+1</f>
        <v>2.1111111111111107</v>
      </c>
      <c r="C170" s="32">
        <f t="shared" ref="C170:C177" si="71">4*(P25-$L$65)/($M$60-$L$65)+1</f>
        <v>3.6373983739837401</v>
      </c>
      <c r="D170" s="32">
        <f t="shared" ref="D170:D177" si="72">4*(O25-$M$57)/($M$58-$M$57)+1</f>
        <v>4.3333333333333339</v>
      </c>
      <c r="E170" s="32">
        <f t="shared" ref="E170:E177" si="73">4*(Q25-$N$57)/($N$58-$N$57)+1</f>
        <v>4.8974358974358978</v>
      </c>
      <c r="F170" s="32">
        <f t="shared" ref="F170:F177" si="74">5-4*(N25-$O$57)/($O$58-$O$57)</f>
        <v>4.166666666666667</v>
      </c>
      <c r="G170" s="32">
        <f>5-4*($F$59-$P$57)/($P$58-$P$57)</f>
        <v>5</v>
      </c>
      <c r="H170" s="32">
        <f>5-4*($G$59-$Q$57)/($Q$58-$Q$57)</f>
        <v>5</v>
      </c>
      <c r="I170">
        <v>5</v>
      </c>
      <c r="J170" s="31">
        <f t="shared" si="70"/>
        <v>4.2682431728163444</v>
      </c>
      <c r="K170" s="31">
        <f t="shared" ref="K170:K177" si="75">(2*(B170+C170+G170)+D170+E170+F170+H170+I170)/11</f>
        <v>4.0813140788750539</v>
      </c>
      <c r="L170" s="31">
        <f t="shared" ref="L170:L177" si="76">(2*(D170+E170+F170+H170)+B170+C170+G170+I170)/12</f>
        <v>4.3786151066638874</v>
      </c>
    </row>
    <row r="171" spans="1:12" x14ac:dyDescent="0.3">
      <c r="A171" t="s">
        <v>125</v>
      </c>
      <c r="B171" s="32">
        <f>4*($H$60-$K$57)/($K$58-$K$57)+1</f>
        <v>3</v>
      </c>
      <c r="C171" s="32">
        <f t="shared" si="71"/>
        <v>3.6373983739837401</v>
      </c>
      <c r="D171" s="32">
        <f t="shared" si="72"/>
        <v>3</v>
      </c>
      <c r="E171" s="32">
        <f t="shared" si="73"/>
        <v>3.9743589743589745</v>
      </c>
      <c r="F171" s="32">
        <f t="shared" si="74"/>
        <v>2.8444444444444441</v>
      </c>
      <c r="G171" s="32">
        <f>5-4*($F$60-$P$57)/($P$58-$P$57)</f>
        <v>5</v>
      </c>
      <c r="H171" s="32">
        <f>5-4*($G$60-$Q$57)/($Q$58-$Q$57)</f>
        <v>5</v>
      </c>
      <c r="I171">
        <v>5</v>
      </c>
      <c r="J171" s="31">
        <f t="shared" si="70"/>
        <v>3.9320252240983948</v>
      </c>
      <c r="K171" s="31">
        <f t="shared" si="75"/>
        <v>3.9176000151609909</v>
      </c>
      <c r="L171" s="31">
        <f t="shared" si="76"/>
        <v>3.856250434299215</v>
      </c>
    </row>
    <row r="172" spans="1:12" x14ac:dyDescent="0.3">
      <c r="A172" t="s">
        <v>126</v>
      </c>
      <c r="B172" s="32">
        <f>4*($H$61-$K$57)/($K$58-$K$57)+1</f>
        <v>3</v>
      </c>
      <c r="C172" s="32">
        <f t="shared" si="71"/>
        <v>3.6373983739837401</v>
      </c>
      <c r="D172" s="32">
        <f t="shared" si="72"/>
        <v>3.6666666666666665</v>
      </c>
      <c r="E172" s="32">
        <f t="shared" si="73"/>
        <v>4.8974358974358978</v>
      </c>
      <c r="F172" s="32">
        <f t="shared" si="74"/>
        <v>4.2444444444444445</v>
      </c>
      <c r="G172" s="32">
        <f>5-4*($F$61-$P$57)/($P$58-$P$57)</f>
        <v>4.666666666666667</v>
      </c>
      <c r="H172" s="32">
        <f>5-4*($G$61-$Q$57)/($Q$58-$Q$57)</f>
        <v>5</v>
      </c>
      <c r="I172">
        <v>5</v>
      </c>
      <c r="J172" s="31">
        <f t="shared" si="70"/>
        <v>4.264076506149677</v>
      </c>
      <c r="K172" s="31">
        <f t="shared" si="75"/>
        <v>4.128788826349802</v>
      </c>
      <c r="L172" s="31">
        <f t="shared" si="76"/>
        <v>4.3267632548120352</v>
      </c>
    </row>
    <row r="173" spans="1:12" x14ac:dyDescent="0.3">
      <c r="A173" t="s">
        <v>127</v>
      </c>
      <c r="B173" s="32">
        <f>4*($H$62-$K$57)/($K$58-$K$57)+1</f>
        <v>3</v>
      </c>
      <c r="C173" s="32">
        <f t="shared" si="71"/>
        <v>3.6373983739837401</v>
      </c>
      <c r="D173" s="32">
        <f t="shared" si="72"/>
        <v>3.6666666666666665</v>
      </c>
      <c r="E173" s="32">
        <f t="shared" si="73"/>
        <v>4.8974358974358978</v>
      </c>
      <c r="F173" s="32">
        <f t="shared" si="74"/>
        <v>4.1222222222222218</v>
      </c>
      <c r="G173" s="32">
        <f>5-4*($F$62-$P$57)/($P$58-$P$57)</f>
        <v>5</v>
      </c>
      <c r="H173" s="32">
        <f>5-4*($G$62-$Q$57)/($Q$58-$Q$57)</f>
        <v>5</v>
      </c>
      <c r="I173">
        <v>1</v>
      </c>
      <c r="J173" s="31">
        <f t="shared" si="70"/>
        <v>3.7904653950385656</v>
      </c>
      <c r="K173" s="31">
        <f t="shared" si="75"/>
        <v>3.8146474122083878</v>
      </c>
      <c r="L173" s="31">
        <f t="shared" si="76"/>
        <v>4.0008373288861092</v>
      </c>
    </row>
    <row r="174" spans="1:12" x14ac:dyDescent="0.3">
      <c r="A174" t="s">
        <v>128</v>
      </c>
      <c r="B174" s="32">
        <f>4*($H$63-$K$57)/($K$58-$K$57)+1</f>
        <v>1</v>
      </c>
      <c r="C174" s="32">
        <v>0</v>
      </c>
      <c r="D174" s="32">
        <f t="shared" si="72"/>
        <v>4.3333333333333339</v>
      </c>
      <c r="E174" s="32">
        <f t="shared" si="73"/>
        <v>4.8974358974358978</v>
      </c>
      <c r="F174" s="32">
        <f t="shared" si="74"/>
        <v>3.9555555555555557</v>
      </c>
      <c r="G174" s="32">
        <f>5-4*($F$63-$P$57)/($P$58-$P$57)</f>
        <v>1.6666666666666665</v>
      </c>
      <c r="H174" s="32">
        <f>5-4*($G$63-$Q$57)/($Q$58-$Q$57)</f>
        <v>5</v>
      </c>
      <c r="I174">
        <v>5</v>
      </c>
      <c r="J174" s="31">
        <f t="shared" si="70"/>
        <v>3.2316239316239317</v>
      </c>
      <c r="K174" s="31">
        <f t="shared" si="75"/>
        <v>2.5926961926961929</v>
      </c>
      <c r="L174" s="31">
        <f t="shared" si="76"/>
        <v>3.6699430199430201</v>
      </c>
    </row>
    <row r="175" spans="1:12" x14ac:dyDescent="0.3">
      <c r="A175" t="s">
        <v>129</v>
      </c>
      <c r="B175" s="32">
        <f>4*($H$64-$K$57)/($K$58-$K$57)+1</f>
        <v>2.333333333333333</v>
      </c>
      <c r="C175" s="32">
        <f t="shared" si="71"/>
        <v>3.9008130081300814</v>
      </c>
      <c r="D175" s="32">
        <f t="shared" si="72"/>
        <v>3.6666666666666665</v>
      </c>
      <c r="E175" s="32">
        <f t="shared" si="73"/>
        <v>4.8974358974358978</v>
      </c>
      <c r="F175" s="32">
        <f t="shared" si="74"/>
        <v>3.1222222222222222</v>
      </c>
      <c r="G175" s="32">
        <f>5-4*($F$64-$P$57)/($P$58-$P$57)</f>
        <v>5</v>
      </c>
      <c r="H175" s="32">
        <f>5-4*($G$64-$Q$57)/($Q$58-$Q$57)</f>
        <v>5</v>
      </c>
      <c r="I175">
        <v>5</v>
      </c>
      <c r="J175" s="31">
        <f t="shared" si="70"/>
        <v>4.1150588909735255</v>
      </c>
      <c r="K175" s="31">
        <f t="shared" si="75"/>
        <v>4.0140561335683289</v>
      </c>
      <c r="L175" s="31">
        <f t="shared" si="76"/>
        <v>4.1338996595094155</v>
      </c>
    </row>
    <row r="176" spans="1:12" x14ac:dyDescent="0.3">
      <c r="A176" t="s">
        <v>130</v>
      </c>
      <c r="B176" s="32">
        <f>4*($H$65-$K$57)/($K$58-$K$57)+1</f>
        <v>1</v>
      </c>
      <c r="C176" s="32">
        <f t="shared" si="71"/>
        <v>2.5284552845528454</v>
      </c>
      <c r="D176" s="32">
        <f t="shared" si="72"/>
        <v>5</v>
      </c>
      <c r="E176" s="32">
        <f t="shared" si="73"/>
        <v>4.8974358974358978</v>
      </c>
      <c r="F176" s="32">
        <f t="shared" si="74"/>
        <v>4.6288888888888886</v>
      </c>
      <c r="G176" s="32">
        <f>5-4*($F$65-$P$57)/($P$58-$P$57)</f>
        <v>5</v>
      </c>
      <c r="H176" s="32">
        <f>5-4*($G$65-$Q$57)/($Q$58-$Q$57)</f>
        <v>5</v>
      </c>
      <c r="I176">
        <v>5</v>
      </c>
      <c r="J176" s="31">
        <f t="shared" si="70"/>
        <v>4.1318475088597033</v>
      </c>
      <c r="K176" s="31">
        <f t="shared" si="75"/>
        <v>3.7802941232209522</v>
      </c>
      <c r="L176" s="31">
        <f t="shared" si="76"/>
        <v>4.3817587381002019</v>
      </c>
    </row>
    <row r="177" spans="1:12" x14ac:dyDescent="0.3">
      <c r="A177" t="s">
        <v>131</v>
      </c>
      <c r="B177" s="32">
        <f>4*($H$66-$K$57)/($K$58-$K$57)+1</f>
        <v>3</v>
      </c>
      <c r="C177" s="32">
        <f t="shared" si="71"/>
        <v>3.6373983739837401</v>
      </c>
      <c r="D177" s="32">
        <f t="shared" si="72"/>
        <v>3.6666666666666665</v>
      </c>
      <c r="E177" s="32">
        <f t="shared" si="73"/>
        <v>4.8974358974358978</v>
      </c>
      <c r="F177" s="32">
        <f t="shared" si="74"/>
        <v>4.2466666666666661</v>
      </c>
      <c r="G177" s="32">
        <f>5-4*($F$66-$P$57)/($P$58-$P$57)</f>
        <v>4.833333333333333</v>
      </c>
      <c r="H177" s="32">
        <f>5-4*($G$66-$Q$57)/($Q$58-$Q$57)</f>
        <v>5</v>
      </c>
      <c r="I177">
        <v>5</v>
      </c>
      <c r="J177" s="31">
        <f t="shared" si="70"/>
        <v>4.2851876172607879</v>
      </c>
      <c r="K177" s="31">
        <f t="shared" si="75"/>
        <v>4.1592938768548526</v>
      </c>
      <c r="L177" s="31">
        <f t="shared" si="76"/>
        <v>4.3410225140712955</v>
      </c>
    </row>
    <row r="179" spans="1:12" x14ac:dyDescent="0.3">
      <c r="A179" s="1" t="s">
        <v>101</v>
      </c>
      <c r="B179" t="s">
        <v>111</v>
      </c>
      <c r="C179" t="s">
        <v>69</v>
      </c>
      <c r="D179" t="s">
        <v>68</v>
      </c>
      <c r="E179" t="s">
        <v>70</v>
      </c>
      <c r="F179" t="s">
        <v>67</v>
      </c>
      <c r="G179" t="s">
        <v>112</v>
      </c>
      <c r="H179" t="s">
        <v>113</v>
      </c>
      <c r="I179" t="s">
        <v>114</v>
      </c>
      <c r="J179" t="s">
        <v>132</v>
      </c>
      <c r="K179" t="s">
        <v>120</v>
      </c>
      <c r="L179" t="s">
        <v>121</v>
      </c>
    </row>
    <row r="180" spans="1:12" x14ac:dyDescent="0.3">
      <c r="A180" t="s">
        <v>123</v>
      </c>
      <c r="B180" s="32">
        <f>4*($H$58-$K$57)/($K$58-$K$57)+1</f>
        <v>3</v>
      </c>
      <c r="C180" s="32">
        <f>4*(D35-$L$65)/($M$61-$L$65)+1</f>
        <v>3.6698412698412692</v>
      </c>
      <c r="D180" s="32">
        <f>4*(C35-$M$57)/($M$58-$M$57)+1</f>
        <v>4.3333333333333339</v>
      </c>
      <c r="E180" s="32">
        <f>4*(E35-$N$57)/($N$58-$N$57)+1</f>
        <v>4.6923076923076925</v>
      </c>
      <c r="F180" s="32">
        <f>5-4*(B35-$O$57)/($O$58-$O$57)</f>
        <v>4.0866666666666669</v>
      </c>
      <c r="G180" s="32">
        <f>5-4*($F$58-$P$57)/($P$58-$P$57)</f>
        <v>5</v>
      </c>
      <c r="H180" s="32">
        <f>5-4*($G$58-$Q$57)/($Q$58-$Q$57)</f>
        <v>3.666666666666667</v>
      </c>
      <c r="I180">
        <v>5</v>
      </c>
      <c r="J180" s="31">
        <f t="shared" ref="J180:J188" si="77">AVERAGE(B180:I180)</f>
        <v>4.1811019536019538</v>
      </c>
      <c r="K180" s="31">
        <f>(2*(B180+C180+G180)+D180+E180+F180+H180+I180)/11</f>
        <v>4.1016960816960815</v>
      </c>
      <c r="L180" s="31">
        <f>(2*(D180+E180+F180+H180)+B180+C180+G180+I180)/12</f>
        <v>4.1856491656491661</v>
      </c>
    </row>
    <row r="181" spans="1:12" x14ac:dyDescent="0.3">
      <c r="A181" s="13" t="s">
        <v>124</v>
      </c>
      <c r="B181" s="32">
        <f>4*($H$59-$K$57)/($K$58-$K$57)+1</f>
        <v>2.1111111111111107</v>
      </c>
      <c r="C181" s="32">
        <f t="shared" ref="C181:C188" si="78">4*(D36-$L$65)/($M$61-$L$65)+1</f>
        <v>3.6698412698412692</v>
      </c>
      <c r="D181" s="32">
        <f t="shared" ref="D181:D188" si="79">4*(C36-$M$57)/($M$58-$M$57)+1</f>
        <v>3.6666666666666665</v>
      </c>
      <c r="E181" s="32">
        <f t="shared" ref="E181:E188" si="80">4*(E36-$N$57)/($N$58-$N$57)+1</f>
        <v>4.8974358974358978</v>
      </c>
      <c r="F181" s="32">
        <f t="shared" ref="F181:F188" si="81">5-4*(B36-$O$57)/($O$58-$O$57)</f>
        <v>4.0888888888888886</v>
      </c>
      <c r="G181" s="32">
        <f>5-4*($F$59-$P$57)/($P$58-$P$57)</f>
        <v>5</v>
      </c>
      <c r="H181" s="32">
        <f>5-4*($G$59-$Q$57)/($Q$58-$Q$57)</f>
        <v>5</v>
      </c>
      <c r="I181">
        <v>5</v>
      </c>
      <c r="J181" s="31">
        <f t="shared" si="77"/>
        <v>4.1792429792429786</v>
      </c>
      <c r="K181" s="31">
        <f t="shared" ref="K181:K188" si="82">(2*(B181+C181+G181)+D181+E181+F181+H181+I181)/11</f>
        <v>4.0195360195360195</v>
      </c>
      <c r="L181" s="31">
        <f t="shared" ref="L181:L188" si="83">(2*(D181+E181+F181+H181)+B181+C181+G181+I181)/12</f>
        <v>4.2572446072446075</v>
      </c>
    </row>
    <row r="182" spans="1:12" x14ac:dyDescent="0.3">
      <c r="A182" t="s">
        <v>125</v>
      </c>
      <c r="B182" s="32">
        <f>4*($H$60-$K$57)/($K$58-$K$57)+1</f>
        <v>3</v>
      </c>
      <c r="C182" s="32">
        <f t="shared" si="78"/>
        <v>3.6698412698412692</v>
      </c>
      <c r="D182" s="32">
        <f t="shared" si="79"/>
        <v>3</v>
      </c>
      <c r="E182" s="32">
        <f t="shared" si="80"/>
        <v>4.0769230769230766</v>
      </c>
      <c r="F182" s="32">
        <f t="shared" si="81"/>
        <v>1.9333333333333336</v>
      </c>
      <c r="G182" s="32">
        <f>5-4*($F$60-$P$57)/($P$58-$P$57)</f>
        <v>5</v>
      </c>
      <c r="H182" s="32">
        <f>5-4*($G$60-$Q$57)/($Q$58-$Q$57)</f>
        <v>5</v>
      </c>
      <c r="I182">
        <v>5</v>
      </c>
      <c r="J182" s="31">
        <f t="shared" si="77"/>
        <v>3.8350122100122102</v>
      </c>
      <c r="K182" s="31">
        <f t="shared" si="82"/>
        <v>3.8499944499944494</v>
      </c>
      <c r="L182" s="31">
        <f t="shared" si="83"/>
        <v>3.7241961741961744</v>
      </c>
    </row>
    <row r="183" spans="1:12" x14ac:dyDescent="0.3">
      <c r="A183" t="s">
        <v>126</v>
      </c>
      <c r="B183" s="32">
        <f>4*($H$61-$K$57)/($K$58-$K$57)+1</f>
        <v>3</v>
      </c>
      <c r="C183" s="32">
        <f t="shared" si="78"/>
        <v>3.6698412698412692</v>
      </c>
      <c r="D183" s="32">
        <f t="shared" si="79"/>
        <v>3.6666666666666665</v>
      </c>
      <c r="E183" s="32">
        <f t="shared" si="80"/>
        <v>4.8974358974358978</v>
      </c>
      <c r="F183" s="32">
        <f t="shared" si="81"/>
        <v>3.9488888888888889</v>
      </c>
      <c r="G183" s="32">
        <f>5-4*($F$61-$P$57)/($P$58-$P$57)</f>
        <v>4.666666666666667</v>
      </c>
      <c r="H183" s="32">
        <f>5-4*($G$61-$Q$57)/($Q$58-$Q$57)</f>
        <v>5</v>
      </c>
      <c r="I183">
        <v>5</v>
      </c>
      <c r="J183" s="31">
        <f t="shared" si="77"/>
        <v>4.2311874236874232</v>
      </c>
      <c r="K183" s="31">
        <f t="shared" si="82"/>
        <v>4.107818847818848</v>
      </c>
      <c r="L183" s="31">
        <f t="shared" si="83"/>
        <v>4.2802075702075699</v>
      </c>
    </row>
    <row r="184" spans="1:12" x14ac:dyDescent="0.3">
      <c r="A184" t="s">
        <v>127</v>
      </c>
      <c r="B184" s="32">
        <f>4*($H$62-$K$57)/($K$58-$K$57)+1</f>
        <v>3</v>
      </c>
      <c r="C184" s="32">
        <f t="shared" si="78"/>
        <v>3.6698412698412692</v>
      </c>
      <c r="D184" s="32">
        <f t="shared" si="79"/>
        <v>3.6666666666666665</v>
      </c>
      <c r="E184" s="32">
        <f t="shared" si="80"/>
        <v>4.8974358974358978</v>
      </c>
      <c r="F184" s="32">
        <f t="shared" si="81"/>
        <v>3.822222222222222</v>
      </c>
      <c r="G184" s="32">
        <f>5-4*($F$62-$P$57)/($P$58-$P$57)</f>
        <v>5</v>
      </c>
      <c r="H184" s="32">
        <f>5-4*($G$62-$Q$57)/($Q$58-$Q$57)</f>
        <v>5</v>
      </c>
      <c r="I184">
        <v>1</v>
      </c>
      <c r="J184" s="31">
        <f t="shared" si="77"/>
        <v>3.757020757020757</v>
      </c>
      <c r="K184" s="31">
        <f t="shared" si="82"/>
        <v>3.7932733932733935</v>
      </c>
      <c r="L184" s="31">
        <f t="shared" si="83"/>
        <v>3.9535409035409033</v>
      </c>
    </row>
    <row r="185" spans="1:12" x14ac:dyDescent="0.3">
      <c r="A185" t="s">
        <v>128</v>
      </c>
      <c r="B185" s="32">
        <f>4*($H$63-$K$57)/($K$58-$K$57)+1</f>
        <v>1</v>
      </c>
      <c r="C185" s="32">
        <v>0</v>
      </c>
      <c r="D185" s="32">
        <f t="shared" si="79"/>
        <v>4.3333333333333339</v>
      </c>
      <c r="E185" s="32">
        <f t="shared" si="80"/>
        <v>4.8974358974358978</v>
      </c>
      <c r="F185" s="32">
        <f t="shared" si="81"/>
        <v>3.8177777777777777</v>
      </c>
      <c r="G185" s="32">
        <f>5-4*($F$63-$P$57)/($P$58-$P$57)</f>
        <v>1.6666666666666665</v>
      </c>
      <c r="H185" s="32">
        <f>5-4*($G$63-$Q$57)/($Q$58-$Q$57)</f>
        <v>5</v>
      </c>
      <c r="I185">
        <v>5</v>
      </c>
      <c r="J185" s="31">
        <f t="shared" si="77"/>
        <v>3.2144017094017094</v>
      </c>
      <c r="K185" s="31">
        <f t="shared" si="82"/>
        <v>2.5801709401709405</v>
      </c>
      <c r="L185" s="31">
        <f t="shared" si="83"/>
        <v>3.6469800569800572</v>
      </c>
    </row>
    <row r="186" spans="1:12" x14ac:dyDescent="0.3">
      <c r="A186" t="s">
        <v>129</v>
      </c>
      <c r="B186" s="32">
        <f>4*($H$64-$K$57)/($K$58-$K$57)+1</f>
        <v>2.333333333333333</v>
      </c>
      <c r="C186" s="32">
        <f t="shared" si="78"/>
        <v>3.9269841269841259</v>
      </c>
      <c r="D186" s="32">
        <f t="shared" si="79"/>
        <v>3.6666666666666665</v>
      </c>
      <c r="E186" s="32">
        <f t="shared" si="80"/>
        <v>4.8974358974358978</v>
      </c>
      <c r="F186" s="32">
        <f t="shared" si="81"/>
        <v>3.1311111111111112</v>
      </c>
      <c r="G186" s="32">
        <f>5-4*($F$64-$P$57)/($P$58-$P$57)</f>
        <v>5</v>
      </c>
      <c r="H186" s="32">
        <f>5-4*($G$64-$Q$57)/($Q$58-$Q$57)</f>
        <v>5</v>
      </c>
      <c r="I186">
        <v>5</v>
      </c>
      <c r="J186" s="31">
        <f t="shared" si="77"/>
        <v>4.1194413919413915</v>
      </c>
      <c r="K186" s="31">
        <f t="shared" si="82"/>
        <v>4.0196225996225996</v>
      </c>
      <c r="L186" s="31">
        <f t="shared" si="83"/>
        <v>4.1375620675620679</v>
      </c>
    </row>
    <row r="187" spans="1:12" x14ac:dyDescent="0.3">
      <c r="A187" t="s">
        <v>130</v>
      </c>
      <c r="B187" s="32">
        <f>4*($H$65-$K$57)/($K$58-$K$57)+1</f>
        <v>1</v>
      </c>
      <c r="C187" s="32">
        <f t="shared" si="78"/>
        <v>2.5873015873015865</v>
      </c>
      <c r="D187" s="32">
        <f t="shared" si="79"/>
        <v>5</v>
      </c>
      <c r="E187" s="32">
        <f t="shared" si="80"/>
        <v>4.8974358974358978</v>
      </c>
      <c r="F187" s="32">
        <f t="shared" si="81"/>
        <v>4.6288888888888886</v>
      </c>
      <c r="G187" s="32">
        <f>5-4*($F$65-$P$57)/($P$58-$P$57)</f>
        <v>5</v>
      </c>
      <c r="H187" s="32">
        <f>5-4*($G$65-$Q$57)/($Q$58-$Q$57)</f>
        <v>5</v>
      </c>
      <c r="I187">
        <v>5</v>
      </c>
      <c r="J187" s="31">
        <f t="shared" si="77"/>
        <v>4.1392032967032968</v>
      </c>
      <c r="K187" s="31">
        <f t="shared" si="82"/>
        <v>3.7909934509934504</v>
      </c>
      <c r="L187" s="31">
        <f t="shared" si="83"/>
        <v>4.3866625966625969</v>
      </c>
    </row>
    <row r="188" spans="1:12" x14ac:dyDescent="0.3">
      <c r="A188" t="s">
        <v>131</v>
      </c>
      <c r="B188" s="32">
        <f>4*($H$66-$K$57)/($K$58-$K$57)+1</f>
        <v>3</v>
      </c>
      <c r="C188" s="32">
        <f t="shared" si="78"/>
        <v>3.6698412698412692</v>
      </c>
      <c r="D188" s="32">
        <f t="shared" si="79"/>
        <v>3.6666666666666665</v>
      </c>
      <c r="E188" s="32">
        <f t="shared" si="80"/>
        <v>4.8974358974358978</v>
      </c>
      <c r="F188" s="32">
        <f t="shared" si="81"/>
        <v>3.951111111111111</v>
      </c>
      <c r="G188" s="32">
        <f>5-4*($F$66-$P$57)/($P$58-$P$57)</f>
        <v>4.833333333333333</v>
      </c>
      <c r="H188" s="32">
        <f>5-4*($G$66-$Q$57)/($Q$58-$Q$57)</f>
        <v>5</v>
      </c>
      <c r="I188">
        <v>5</v>
      </c>
      <c r="J188" s="31">
        <f t="shared" si="77"/>
        <v>4.252298534798534</v>
      </c>
      <c r="K188" s="31">
        <f t="shared" si="82"/>
        <v>4.1383238983238986</v>
      </c>
      <c r="L188" s="31">
        <f t="shared" si="83"/>
        <v>4.2944668294668293</v>
      </c>
    </row>
    <row r="190" spans="1:12" x14ac:dyDescent="0.3">
      <c r="A190" s="1" t="s">
        <v>102</v>
      </c>
      <c r="B190" t="s">
        <v>111</v>
      </c>
      <c r="C190" t="s">
        <v>69</v>
      </c>
      <c r="D190" t="s">
        <v>68</v>
      </c>
      <c r="E190" t="s">
        <v>70</v>
      </c>
      <c r="F190" t="s">
        <v>67</v>
      </c>
      <c r="G190" t="s">
        <v>112</v>
      </c>
      <c r="H190" t="s">
        <v>113</v>
      </c>
      <c r="I190" t="s">
        <v>114</v>
      </c>
      <c r="J190" t="s">
        <v>132</v>
      </c>
      <c r="K190" t="s">
        <v>120</v>
      </c>
      <c r="L190" t="s">
        <v>121</v>
      </c>
    </row>
    <row r="191" spans="1:12" x14ac:dyDescent="0.3">
      <c r="A191" t="s">
        <v>123</v>
      </c>
      <c r="B191" s="32">
        <f>4*($H$58-$K$57)/($K$58-$K$57)+1</f>
        <v>3</v>
      </c>
      <c r="C191" s="32">
        <f>4*(J35-$L$65)/($M$62-$L$65)+1</f>
        <v>3.7007751937984503</v>
      </c>
      <c r="D191" s="32">
        <f>4*(I35-$M$57)/($M$58-$M$57)+1</f>
        <v>3.6666666666666665</v>
      </c>
      <c r="E191" s="32">
        <f>4*(K35-$N$57)/($N$58-$N$57)+1</f>
        <v>4.6923076923076925</v>
      </c>
      <c r="F191" s="32">
        <f>5-4*(H35-$O$57)/($O$58-$O$57)</f>
        <v>3.9644444444444442</v>
      </c>
      <c r="G191" s="32">
        <f>5-4*($F$58-$P$57)/($P$58-$P$57)</f>
        <v>5</v>
      </c>
      <c r="H191" s="32">
        <f>5-4*($G$58-$Q$57)/($Q$58-$Q$57)</f>
        <v>3.666666666666667</v>
      </c>
      <c r="I191">
        <v>5</v>
      </c>
      <c r="J191" s="31">
        <f t="shared" ref="J191:J199" si="84">AVERAGE(B191:I191)</f>
        <v>4.0863575829854906</v>
      </c>
      <c r="K191" s="31">
        <f>(2*(B191+C191+G191)+D191+E191+F191+H191+I191)/11</f>
        <v>4.0356032597893057</v>
      </c>
      <c r="L191" s="31">
        <f>(2*(D191+E191+F191+H191)+B191+C191+G191+I191)/12</f>
        <v>4.0567455111641157</v>
      </c>
    </row>
    <row r="192" spans="1:12" x14ac:dyDescent="0.3">
      <c r="A192" s="13" t="s">
        <v>124</v>
      </c>
      <c r="B192" s="32">
        <f>4*($H$59-$K$57)/($K$58-$K$57)+1</f>
        <v>2.1111111111111107</v>
      </c>
      <c r="C192" s="32">
        <f t="shared" ref="C192:C199" si="85">4*(J36-$L$65)/($M$62-$L$65)+1</f>
        <v>3.7007751937984503</v>
      </c>
      <c r="D192" s="32">
        <f t="shared" ref="D192:D199" si="86">4*(I36-$M$57)/($M$58-$M$57)+1</f>
        <v>3.6666666666666665</v>
      </c>
      <c r="E192" s="32">
        <f t="shared" ref="E192:E199" si="87">4*(K36-$N$57)/($N$58-$N$57)+1</f>
        <v>4.8974358974358978</v>
      </c>
      <c r="F192" s="32">
        <f t="shared" ref="F192:F199" si="88">5-4*(H36-$O$57)/($O$58-$O$57)</f>
        <v>4.0222222222222221</v>
      </c>
      <c r="G192" s="32">
        <f>5-4*($F$59-$P$57)/($P$58-$P$57)</f>
        <v>5</v>
      </c>
      <c r="H192" s="32">
        <f>5-4*($G$59-$Q$57)/($Q$58-$Q$57)</f>
        <v>5</v>
      </c>
      <c r="I192">
        <v>5</v>
      </c>
      <c r="J192" s="31">
        <f t="shared" si="84"/>
        <v>4.174776386404293</v>
      </c>
      <c r="K192" s="31">
        <f t="shared" ref="K192:K199" si="89">(2*(B192+C192+G192)+D192+E192+F192+H192+I192)/11</f>
        <v>4.0190997632858094</v>
      </c>
      <c r="L192" s="31">
        <f t="shared" ref="L192:L199" si="90">(2*(D192+E192+F192+H192)+B192+C192+G192+I192)/12</f>
        <v>4.2487113231299283</v>
      </c>
    </row>
    <row r="193" spans="1:12" x14ac:dyDescent="0.3">
      <c r="A193" t="s">
        <v>125</v>
      </c>
      <c r="B193" s="32">
        <f>4*($H$60-$K$57)/($K$58-$K$57)+1</f>
        <v>3</v>
      </c>
      <c r="C193" s="32">
        <f t="shared" si="85"/>
        <v>3.7007751937984503</v>
      </c>
      <c r="D193" s="32">
        <f t="shared" si="86"/>
        <v>3</v>
      </c>
      <c r="E193" s="32">
        <f t="shared" si="87"/>
        <v>3.1538461538461537</v>
      </c>
      <c r="F193" s="32">
        <f t="shared" si="88"/>
        <v>0.83111111111111047</v>
      </c>
      <c r="G193" s="32">
        <f>5-4*($F$60-$P$57)/($P$58-$P$57)</f>
        <v>5</v>
      </c>
      <c r="H193" s="32">
        <f>5-4*($G$60-$Q$57)/($Q$58-$Q$57)</f>
        <v>5</v>
      </c>
      <c r="I193">
        <v>5</v>
      </c>
      <c r="J193" s="31">
        <f t="shared" si="84"/>
        <v>3.585716557344464</v>
      </c>
      <c r="K193" s="31">
        <f t="shared" si="89"/>
        <v>3.6715006956867415</v>
      </c>
      <c r="L193" s="31">
        <f t="shared" si="90"/>
        <v>3.3892241436427479</v>
      </c>
    </row>
    <row r="194" spans="1:12" x14ac:dyDescent="0.3">
      <c r="A194" t="s">
        <v>126</v>
      </c>
      <c r="B194" s="32">
        <f>4*($H$61-$K$57)/($K$58-$K$57)+1</f>
        <v>3</v>
      </c>
      <c r="C194" s="32">
        <f t="shared" si="85"/>
        <v>3.7007751937984503</v>
      </c>
      <c r="D194" s="32">
        <f t="shared" si="86"/>
        <v>3.6666666666666665</v>
      </c>
      <c r="E194" s="32">
        <f t="shared" si="87"/>
        <v>4.8974358974358978</v>
      </c>
      <c r="F194" s="32">
        <f t="shared" si="88"/>
        <v>3.8822222222222225</v>
      </c>
      <c r="G194" s="32">
        <f>5-4*($F$61-$P$57)/($P$58-$P$57)</f>
        <v>4.666666666666667</v>
      </c>
      <c r="H194" s="32">
        <f>5-4*($G$61-$Q$57)/($Q$58-$Q$57)</f>
        <v>5</v>
      </c>
      <c r="I194">
        <v>5</v>
      </c>
      <c r="J194" s="31">
        <f t="shared" si="84"/>
        <v>4.2267208308487376</v>
      </c>
      <c r="K194" s="31">
        <f t="shared" si="89"/>
        <v>4.1073825915686379</v>
      </c>
      <c r="L194" s="31">
        <f t="shared" si="90"/>
        <v>4.2716742860928907</v>
      </c>
    </row>
    <row r="195" spans="1:12" x14ac:dyDescent="0.3">
      <c r="A195" t="s">
        <v>127</v>
      </c>
      <c r="B195" s="32">
        <f>4*($H$62-$K$57)/($K$58-$K$57)+1</f>
        <v>3</v>
      </c>
      <c r="C195" s="32">
        <f t="shared" si="85"/>
        <v>3.7007751937984503</v>
      </c>
      <c r="D195" s="32">
        <f t="shared" si="86"/>
        <v>3.6666666666666665</v>
      </c>
      <c r="E195" s="32">
        <f t="shared" si="87"/>
        <v>3.9743589743589745</v>
      </c>
      <c r="F195" s="32">
        <f t="shared" si="88"/>
        <v>2.7199999999999998</v>
      </c>
      <c r="G195" s="32">
        <f>5-4*($F$62-$P$57)/($P$58-$P$57)</f>
        <v>5</v>
      </c>
      <c r="H195" s="32">
        <f>5-4*($G$62-$Q$57)/($Q$58-$Q$57)</f>
        <v>5</v>
      </c>
      <c r="I195">
        <v>1</v>
      </c>
      <c r="J195" s="31">
        <f t="shared" si="84"/>
        <v>3.5077251043530113</v>
      </c>
      <c r="K195" s="31">
        <f t="shared" si="89"/>
        <v>3.6147796389656857</v>
      </c>
      <c r="L195" s="31">
        <f t="shared" si="90"/>
        <v>3.6185688729874776</v>
      </c>
    </row>
    <row r="196" spans="1:12" x14ac:dyDescent="0.3">
      <c r="A196" t="s">
        <v>128</v>
      </c>
      <c r="B196" s="32">
        <f>4*($H$63-$K$57)/($K$58-$K$57)+1</f>
        <v>1</v>
      </c>
      <c r="C196" s="32">
        <v>0</v>
      </c>
      <c r="D196" s="32">
        <f t="shared" si="86"/>
        <v>4.3333333333333339</v>
      </c>
      <c r="E196" s="32">
        <f t="shared" si="87"/>
        <v>4.8974358974358978</v>
      </c>
      <c r="F196" s="32">
        <f t="shared" si="88"/>
        <v>3.8177777777777777</v>
      </c>
      <c r="G196" s="32">
        <f>5-4*($F$63-$P$57)/($P$58-$P$57)</f>
        <v>1.6666666666666665</v>
      </c>
      <c r="H196" s="32">
        <f>5-4*($G$63-$Q$57)/($Q$58-$Q$57)</f>
        <v>5</v>
      </c>
      <c r="I196">
        <v>5</v>
      </c>
      <c r="J196" s="31">
        <f t="shared" si="84"/>
        <v>3.2144017094017094</v>
      </c>
      <c r="K196" s="31">
        <f t="shared" si="89"/>
        <v>2.5801709401709405</v>
      </c>
      <c r="L196" s="31">
        <f t="shared" si="90"/>
        <v>3.6469800569800572</v>
      </c>
    </row>
    <row r="197" spans="1:12" x14ac:dyDescent="0.3">
      <c r="A197" t="s">
        <v>129</v>
      </c>
      <c r="B197" s="32">
        <f>4*($H$64-$K$57)/($K$58-$K$57)+1</f>
        <v>2.333333333333333</v>
      </c>
      <c r="C197" s="32">
        <f t="shared" si="85"/>
        <v>3.9519379844961247</v>
      </c>
      <c r="D197" s="32">
        <f t="shared" si="86"/>
        <v>3</v>
      </c>
      <c r="E197" s="32">
        <f t="shared" si="87"/>
        <v>4.8974358974358978</v>
      </c>
      <c r="F197" s="32">
        <f t="shared" si="88"/>
        <v>3.0777777777777775</v>
      </c>
      <c r="G197" s="32">
        <f>5-4*($F$64-$P$57)/($P$58-$P$57)</f>
        <v>5</v>
      </c>
      <c r="H197" s="32">
        <f>5-4*($G$64-$Q$57)/($Q$58-$Q$57)</f>
        <v>5</v>
      </c>
      <c r="I197">
        <v>5</v>
      </c>
      <c r="J197" s="31">
        <f t="shared" si="84"/>
        <v>4.032560624130392</v>
      </c>
      <c r="K197" s="31">
        <f t="shared" si="89"/>
        <v>3.9587051191702356</v>
      </c>
      <c r="L197" s="31">
        <f t="shared" si="90"/>
        <v>4.0196415556880671</v>
      </c>
    </row>
    <row r="198" spans="1:12" x14ac:dyDescent="0.3">
      <c r="A198" t="s">
        <v>130</v>
      </c>
      <c r="B198" s="32">
        <f>4*($H$65-$K$57)/($K$58-$K$57)+1</f>
        <v>1</v>
      </c>
      <c r="C198" s="32">
        <f t="shared" si="85"/>
        <v>2.6434108527131785</v>
      </c>
      <c r="D198" s="32">
        <f t="shared" si="86"/>
        <v>5</v>
      </c>
      <c r="E198" s="32">
        <f t="shared" si="87"/>
        <v>4.8974358974358978</v>
      </c>
      <c r="F198" s="32">
        <f t="shared" si="88"/>
        <v>4.6288888888888886</v>
      </c>
      <c r="G198" s="32">
        <f>5-4*($F$65-$P$57)/($P$58-$P$57)</f>
        <v>5</v>
      </c>
      <c r="H198" s="32">
        <f>5-4*($G$65-$Q$57)/($Q$58-$Q$57)</f>
        <v>5</v>
      </c>
      <c r="I198">
        <v>5</v>
      </c>
      <c r="J198" s="31">
        <f t="shared" si="84"/>
        <v>4.1462169548797458</v>
      </c>
      <c r="K198" s="31">
        <f t="shared" si="89"/>
        <v>3.8011951356137401</v>
      </c>
      <c r="L198" s="31">
        <f t="shared" si="90"/>
        <v>4.3913383687802297</v>
      </c>
    </row>
    <row r="199" spans="1:12" x14ac:dyDescent="0.3">
      <c r="A199" t="s">
        <v>131</v>
      </c>
      <c r="B199" s="32">
        <f>4*($H$66-$K$57)/($K$58-$K$57)+1</f>
        <v>3</v>
      </c>
      <c r="C199" s="32">
        <f t="shared" si="85"/>
        <v>3.7007751937984503</v>
      </c>
      <c r="D199" s="32">
        <f t="shared" si="86"/>
        <v>3.6666666666666665</v>
      </c>
      <c r="E199" s="32">
        <f t="shared" si="87"/>
        <v>4.8974358974358978</v>
      </c>
      <c r="F199" s="32">
        <f t="shared" si="88"/>
        <v>3.8844444444444441</v>
      </c>
      <c r="G199" s="32">
        <f>5-4*($F$66-$P$57)/($P$58-$P$57)</f>
        <v>4.833333333333333</v>
      </c>
      <c r="H199" s="32">
        <f>5-4*($G$66-$Q$57)/($Q$58-$Q$57)</f>
        <v>5</v>
      </c>
      <c r="I199">
        <v>5</v>
      </c>
      <c r="J199" s="31">
        <f t="shared" si="84"/>
        <v>4.2478319419598485</v>
      </c>
      <c r="K199" s="31">
        <f t="shared" si="89"/>
        <v>4.1378876420736894</v>
      </c>
      <c r="L199" s="31">
        <f t="shared" si="90"/>
        <v>4.2859335453521501</v>
      </c>
    </row>
    <row r="201" spans="1:12" x14ac:dyDescent="0.3">
      <c r="A201" s="1" t="s">
        <v>103</v>
      </c>
      <c r="B201" t="s">
        <v>111</v>
      </c>
      <c r="C201" t="s">
        <v>69</v>
      </c>
      <c r="D201" t="s">
        <v>68</v>
      </c>
      <c r="E201" t="s">
        <v>70</v>
      </c>
      <c r="F201" t="s">
        <v>67</v>
      </c>
      <c r="G201" t="s">
        <v>112</v>
      </c>
      <c r="H201" t="s">
        <v>113</v>
      </c>
      <c r="I201" t="s">
        <v>114</v>
      </c>
      <c r="J201" t="s">
        <v>132</v>
      </c>
      <c r="K201" t="s">
        <v>120</v>
      </c>
      <c r="L201" t="s">
        <v>121</v>
      </c>
    </row>
    <row r="202" spans="1:12" x14ac:dyDescent="0.3">
      <c r="A202" t="s">
        <v>123</v>
      </c>
      <c r="B202" s="32">
        <f>4*($H$58-$K$57)/($K$58-$K$57)+1</f>
        <v>3</v>
      </c>
      <c r="C202" s="32">
        <f>4*(P35-$L$65)/($M$63-$L$65)+1</f>
        <v>3.73030303030303</v>
      </c>
      <c r="D202" s="32">
        <f>4*(O35-$M$57)/($M$58-$M$57)+1</f>
        <v>3.6666666666666665</v>
      </c>
      <c r="E202" s="32">
        <f>4*(Q35-$N$57)/($N$58-$N$57)+1</f>
        <v>4.6923076923076925</v>
      </c>
      <c r="F202" s="32">
        <f>5-4*(N35-$O$57)/($O$58-$O$57)</f>
        <v>3.8977777777777778</v>
      </c>
      <c r="G202" s="32">
        <f>5-4*($F$58-$P$57)/($P$58-$P$57)</f>
        <v>5</v>
      </c>
      <c r="H202" s="32">
        <f>5-4*($G$58-$Q$57)/($Q$58-$Q$57)</f>
        <v>3.666666666666667</v>
      </c>
      <c r="I202">
        <v>5</v>
      </c>
      <c r="J202" s="31">
        <f t="shared" ref="J202:J210" si="91">AVERAGE(B202:I202)</f>
        <v>4.081715229215229</v>
      </c>
      <c r="K202" s="31">
        <f>(2*(B202+C202+G202)+D202+E202+F202+H202+I202)/11</f>
        <v>4.0349113512749879</v>
      </c>
      <c r="L202" s="31">
        <f>(2*(D202+E202+F202+H202)+B202+C202+G202+I202)/12</f>
        <v>4.0480950530950528</v>
      </c>
    </row>
    <row r="203" spans="1:12" x14ac:dyDescent="0.3">
      <c r="A203" s="13" t="s">
        <v>124</v>
      </c>
      <c r="B203" s="32">
        <f>4*($H$59-$K$57)/($K$58-$K$57)+1</f>
        <v>2.1111111111111107</v>
      </c>
      <c r="C203" s="32">
        <f t="shared" ref="C203:C210" si="92">4*(P36-$L$65)/($M$63-$L$65)+1</f>
        <v>3.73030303030303</v>
      </c>
      <c r="D203" s="32">
        <f t="shared" ref="D203:D210" si="93">4*(O36-$M$57)/($M$58-$M$57)+1</f>
        <v>3.6666666666666665</v>
      </c>
      <c r="E203" s="32">
        <f t="shared" ref="E203:E210" si="94">4*(Q36-$N$57)/($N$58-$N$57)+1</f>
        <v>4.8974358974358978</v>
      </c>
      <c r="F203" s="32">
        <f t="shared" ref="F203:F210" si="95">5-4*(N36-$O$57)/($O$58-$O$57)</f>
        <v>3.9555555555555557</v>
      </c>
      <c r="G203" s="32">
        <f>5-4*($F$59-$P$57)/($P$58-$P$57)</f>
        <v>5</v>
      </c>
      <c r="H203" s="32">
        <f>5-4*($G$59-$Q$57)/($Q$58-$Q$57)</f>
        <v>5</v>
      </c>
      <c r="I203">
        <v>5</v>
      </c>
      <c r="J203" s="31">
        <f t="shared" si="91"/>
        <v>4.1701340326340324</v>
      </c>
      <c r="K203" s="31">
        <f t="shared" ref="K203:K210" si="96">(2*(B203+C203+G203)+D203+E203+F203+H203+I203)/11</f>
        <v>4.0184078547714908</v>
      </c>
      <c r="L203" s="31">
        <f t="shared" ref="L203:L210" si="97">(2*(D203+E203+F203+H203)+B203+C203+G203+I203)/12</f>
        <v>4.2400608650608644</v>
      </c>
    </row>
    <row r="204" spans="1:12" x14ac:dyDescent="0.3">
      <c r="A204" t="s">
        <v>125</v>
      </c>
      <c r="B204" s="32">
        <f>4*($H$60-$K$57)/($K$58-$K$57)+1</f>
        <v>3</v>
      </c>
      <c r="C204" s="32">
        <f t="shared" si="92"/>
        <v>3.73030303030303</v>
      </c>
      <c r="D204" s="32">
        <f t="shared" si="93"/>
        <v>3</v>
      </c>
      <c r="E204" s="32">
        <f t="shared" si="94"/>
        <v>4.0769230769230766</v>
      </c>
      <c r="F204" s="32">
        <f t="shared" si="95"/>
        <v>2.1644444444444439</v>
      </c>
      <c r="G204" s="32">
        <f>5-4*($F$60-$P$57)/($P$58-$P$57)</f>
        <v>5</v>
      </c>
      <c r="H204" s="32">
        <f>5-4*($G$60-$Q$57)/($Q$58-$Q$57)</f>
        <v>5</v>
      </c>
      <c r="I204">
        <v>5</v>
      </c>
      <c r="J204" s="31">
        <f t="shared" si="91"/>
        <v>3.8714588189588186</v>
      </c>
      <c r="K204" s="31">
        <f t="shared" si="96"/>
        <v>3.8819975983612349</v>
      </c>
      <c r="L204" s="31">
        <f t="shared" si="97"/>
        <v>3.7677531727531726</v>
      </c>
    </row>
    <row r="205" spans="1:12" x14ac:dyDescent="0.3">
      <c r="A205" t="s">
        <v>126</v>
      </c>
      <c r="B205" s="32">
        <f>4*($H$61-$K$57)/($K$58-$K$57)+1</f>
        <v>3</v>
      </c>
      <c r="C205" s="32">
        <f t="shared" si="92"/>
        <v>3.73030303030303</v>
      </c>
      <c r="D205" s="32">
        <f t="shared" si="93"/>
        <v>4.3333333333333339</v>
      </c>
      <c r="E205" s="32">
        <f t="shared" si="94"/>
        <v>4.8974358974358978</v>
      </c>
      <c r="F205" s="32">
        <f t="shared" si="95"/>
        <v>4.4000000000000004</v>
      </c>
      <c r="G205" s="32">
        <f>5-4*($F$61-$P$57)/($P$58-$P$57)</f>
        <v>4.666666666666667</v>
      </c>
      <c r="H205" s="32">
        <f>5-4*($G$61-$Q$57)/($Q$58-$Q$57)</f>
        <v>5</v>
      </c>
      <c r="I205">
        <v>5</v>
      </c>
      <c r="J205" s="31">
        <f t="shared" si="91"/>
        <v>4.3784673659673663</v>
      </c>
      <c r="K205" s="31">
        <f t="shared" si="96"/>
        <v>4.2204280567916932</v>
      </c>
      <c r="L205" s="31">
        <f t="shared" si="97"/>
        <v>4.4715423465423463</v>
      </c>
    </row>
    <row r="206" spans="1:12" x14ac:dyDescent="0.3">
      <c r="A206" t="s">
        <v>127</v>
      </c>
      <c r="B206" s="32">
        <f>4*($H$62-$K$57)/($K$58-$K$57)+1</f>
        <v>3</v>
      </c>
      <c r="C206" s="32">
        <f t="shared" si="92"/>
        <v>3.73030303030303</v>
      </c>
      <c r="D206" s="32">
        <f t="shared" si="93"/>
        <v>3.6666666666666665</v>
      </c>
      <c r="E206" s="32">
        <f t="shared" si="94"/>
        <v>4.8974358974358978</v>
      </c>
      <c r="F206" s="32">
        <f t="shared" si="95"/>
        <v>4.0533333333333328</v>
      </c>
      <c r="G206" s="32">
        <f>5-4*($F$62-$P$57)/($P$58-$P$57)</f>
        <v>5</v>
      </c>
      <c r="H206" s="32">
        <f>5-4*($G$62-$Q$57)/($Q$58-$Q$57)</f>
        <v>5</v>
      </c>
      <c r="I206">
        <v>1</v>
      </c>
      <c r="J206" s="31">
        <f t="shared" si="91"/>
        <v>3.7934673659673659</v>
      </c>
      <c r="K206" s="31">
        <f t="shared" si="96"/>
        <v>3.8252765416401782</v>
      </c>
      <c r="L206" s="31">
        <f t="shared" si="97"/>
        <v>3.9970979020979018</v>
      </c>
    </row>
    <row r="207" spans="1:12" x14ac:dyDescent="0.3">
      <c r="A207" t="s">
        <v>128</v>
      </c>
      <c r="B207" s="32">
        <f>4*($H$63-$K$57)/($K$58-$K$57)+1</f>
        <v>1</v>
      </c>
      <c r="C207" s="32">
        <v>0</v>
      </c>
      <c r="D207" s="32">
        <f t="shared" si="93"/>
        <v>4.3333333333333339</v>
      </c>
      <c r="E207" s="32">
        <f t="shared" si="94"/>
        <v>4.8974358974358978</v>
      </c>
      <c r="F207" s="32">
        <f t="shared" si="95"/>
        <v>3.8177777777777777</v>
      </c>
      <c r="G207" s="32">
        <f>5-4*($F$63-$P$57)/($P$58-$P$57)</f>
        <v>1.6666666666666665</v>
      </c>
      <c r="H207" s="32">
        <f>5-4*($G$63-$Q$57)/($Q$58-$Q$57)</f>
        <v>5</v>
      </c>
      <c r="I207">
        <v>5</v>
      </c>
      <c r="J207" s="31">
        <f t="shared" si="91"/>
        <v>3.2144017094017094</v>
      </c>
      <c r="K207" s="31">
        <f t="shared" si="96"/>
        <v>2.5801709401709405</v>
      </c>
      <c r="L207" s="31">
        <f t="shared" si="97"/>
        <v>3.6469800569800572</v>
      </c>
    </row>
    <row r="208" spans="1:12" x14ac:dyDescent="0.3">
      <c r="A208" t="s">
        <v>129</v>
      </c>
      <c r="B208" s="32">
        <f>4*($H$64-$K$57)/($K$58-$K$57)+1</f>
        <v>2.333333333333333</v>
      </c>
      <c r="C208" s="32">
        <f t="shared" si="92"/>
        <v>3.9757575757575752</v>
      </c>
      <c r="D208" s="32">
        <f t="shared" si="93"/>
        <v>3</v>
      </c>
      <c r="E208" s="32">
        <f t="shared" si="94"/>
        <v>4.8974358974358978</v>
      </c>
      <c r="F208" s="32">
        <f t="shared" si="95"/>
        <v>3.0244444444444447</v>
      </c>
      <c r="G208" s="32">
        <f>5-4*($F$64-$P$57)/($P$58-$P$57)</f>
        <v>5</v>
      </c>
      <c r="H208" s="32">
        <f>5-4*($G$64-$Q$57)/($Q$58-$Q$57)</f>
        <v>5</v>
      </c>
      <c r="I208">
        <v>5</v>
      </c>
      <c r="J208" s="31">
        <f t="shared" si="91"/>
        <v>4.0288714063714064</v>
      </c>
      <c r="K208" s="31">
        <f t="shared" si="96"/>
        <v>3.9581874690965604</v>
      </c>
      <c r="L208" s="31">
        <f t="shared" si="97"/>
        <v>4.0127376327376334</v>
      </c>
    </row>
    <row r="209" spans="1:12" x14ac:dyDescent="0.3">
      <c r="A209" t="s">
        <v>130</v>
      </c>
      <c r="B209" s="32">
        <f>4*($H$65-$K$57)/($K$58-$K$57)+1</f>
        <v>1</v>
      </c>
      <c r="C209" s="32">
        <f t="shared" si="92"/>
        <v>2.6969696969696964</v>
      </c>
      <c r="D209" s="32">
        <f t="shared" si="93"/>
        <v>5</v>
      </c>
      <c r="E209" s="32">
        <f t="shared" si="94"/>
        <v>4.8974358974358978</v>
      </c>
      <c r="F209" s="32">
        <f t="shared" si="95"/>
        <v>4.6288888888888886</v>
      </c>
      <c r="G209" s="32">
        <f>5-4*($F$65-$P$57)/($P$58-$P$57)</f>
        <v>5</v>
      </c>
      <c r="H209" s="32">
        <f>5-4*($G$65-$Q$57)/($Q$58-$Q$57)</f>
        <v>5</v>
      </c>
      <c r="I209">
        <v>5</v>
      </c>
      <c r="J209" s="31">
        <f t="shared" si="91"/>
        <v>4.1529118104118101</v>
      </c>
      <c r="K209" s="31">
        <f t="shared" si="96"/>
        <v>3.8109331072967434</v>
      </c>
      <c r="L209" s="31">
        <f t="shared" si="97"/>
        <v>4.3958016058016058</v>
      </c>
    </row>
    <row r="210" spans="1:12" x14ac:dyDescent="0.3">
      <c r="A210" t="s">
        <v>131</v>
      </c>
      <c r="B210" s="32">
        <f>4*($H$66-$K$57)/($K$58-$K$57)+1</f>
        <v>3</v>
      </c>
      <c r="C210" s="32">
        <f t="shared" si="92"/>
        <v>3.73030303030303</v>
      </c>
      <c r="D210" s="32">
        <f t="shared" si="93"/>
        <v>3.6666666666666665</v>
      </c>
      <c r="E210" s="32">
        <f t="shared" si="94"/>
        <v>4.8974358974358978</v>
      </c>
      <c r="F210" s="32">
        <f t="shared" si="95"/>
        <v>4.0244444444444447</v>
      </c>
      <c r="G210" s="32">
        <f>5-4*($F$66-$P$57)/($P$58-$P$57)</f>
        <v>4.833333333333333</v>
      </c>
      <c r="H210" s="32">
        <f>5-4*($G$66-$Q$57)/($Q$58-$Q$57)</f>
        <v>5</v>
      </c>
      <c r="I210">
        <v>5</v>
      </c>
      <c r="J210" s="31">
        <f t="shared" si="91"/>
        <v>4.2690229215229216</v>
      </c>
      <c r="K210" s="31">
        <f t="shared" si="96"/>
        <v>4.1559836123472484</v>
      </c>
      <c r="L210" s="31">
        <f t="shared" si="97"/>
        <v>4.3117275317275316</v>
      </c>
    </row>
    <row r="212" spans="1:12" x14ac:dyDescent="0.3">
      <c r="A212" s="1" t="s">
        <v>104</v>
      </c>
      <c r="B212" t="s">
        <v>111</v>
      </c>
      <c r="C212" t="s">
        <v>69</v>
      </c>
      <c r="D212" t="s">
        <v>68</v>
      </c>
      <c r="E212" t="s">
        <v>70</v>
      </c>
      <c r="F212" t="s">
        <v>67</v>
      </c>
      <c r="G212" t="s">
        <v>112</v>
      </c>
      <c r="H212" t="s">
        <v>113</v>
      </c>
      <c r="I212" t="s">
        <v>114</v>
      </c>
      <c r="J212" t="s">
        <v>132</v>
      </c>
      <c r="K212" t="s">
        <v>120</v>
      </c>
      <c r="L212" t="s">
        <v>121</v>
      </c>
    </row>
    <row r="213" spans="1:12" x14ac:dyDescent="0.3">
      <c r="A213" t="s">
        <v>123</v>
      </c>
      <c r="B213" s="32">
        <f>4*($H$58-$K$57)/($K$58-$K$57)+1</f>
        <v>3</v>
      </c>
      <c r="C213" s="32">
        <f>4*(D46-$L$65)/($M$64-$L$65)+1</f>
        <v>3.7585185185185228</v>
      </c>
      <c r="D213" s="32">
        <f>4*(C46-$M$57)/($M$58-$M$57)+1</f>
        <v>3.6666666666666665</v>
      </c>
      <c r="E213" s="32">
        <f>4*(E46-$N$57)/($N$58-$N$57)+1</f>
        <v>4.6923076923076925</v>
      </c>
      <c r="F213" s="32">
        <f>5-4*(B46-$O$57)/($O$58-$O$57)</f>
        <v>3.8311111111111109</v>
      </c>
      <c r="G213" s="32">
        <f>5-4*($F$58-$P$57)/($P$58-$P$57)</f>
        <v>5</v>
      </c>
      <c r="H213" s="32">
        <f>5-4*($G$58-$Q$57)/($Q$58-$Q$57)</f>
        <v>3.666666666666667</v>
      </c>
      <c r="I213">
        <v>5</v>
      </c>
      <c r="J213" s="31">
        <f t="shared" ref="J213:J221" si="98">AVERAGE(B213:I213)</f>
        <v>4.0769088319088329</v>
      </c>
      <c r="K213" s="31">
        <f>(2*(B213+C213+G213)+D213+E213+F213+H213+I213)/11</f>
        <v>4.0339808339808352</v>
      </c>
      <c r="L213" s="31">
        <f>(2*(D213+E213+F213+H213)+B213+C213+G213+I213)/12</f>
        <v>4.0393352326685665</v>
      </c>
    </row>
    <row r="214" spans="1:12" x14ac:dyDescent="0.3">
      <c r="A214" s="13" t="s">
        <v>124</v>
      </c>
      <c r="B214" s="32">
        <f>4*($H$59-$K$57)/($K$58-$K$57)+1</f>
        <v>2.1111111111111107</v>
      </c>
      <c r="C214" s="32">
        <f t="shared" ref="C214:C221" si="99">4*(D47-$L$65)/($M$64-$L$65)+1</f>
        <v>3.7792592592592635</v>
      </c>
      <c r="D214" s="32">
        <f t="shared" ref="D214:D221" si="100">4*(C47-$M$57)/($M$58-$M$57)+1</f>
        <v>4.3333333333333339</v>
      </c>
      <c r="E214" s="32">
        <f t="shared" ref="E214:E221" si="101">4*(E47-$N$57)/($N$58-$N$57)+1</f>
        <v>4.8974358974358978</v>
      </c>
      <c r="F214" s="32">
        <f t="shared" ref="F214:F221" si="102">5-4*(B47-$O$57)/($O$58-$O$57)</f>
        <v>3.8177777777777777</v>
      </c>
      <c r="G214" s="32">
        <f>5-4*($F$59-$P$57)/($P$58-$P$57)</f>
        <v>5</v>
      </c>
      <c r="H214" s="32">
        <f>5-4*($G$59-$Q$57)/($Q$58-$Q$57)</f>
        <v>5</v>
      </c>
      <c r="I214">
        <v>5</v>
      </c>
      <c r="J214" s="31">
        <f t="shared" si="98"/>
        <v>4.2423646723646726</v>
      </c>
      <c r="K214" s="31">
        <f t="shared" ref="K214:K221" si="103">(2*(B214+C214+G214)+D214+E214+F214+H214+I214)/11</f>
        <v>4.0753897953897962</v>
      </c>
      <c r="L214" s="31">
        <f t="shared" ref="L214:L221" si="104">(2*(D214+E214+F214+H214)+B214+C214+G214+I214)/12</f>
        <v>4.3322886989553666</v>
      </c>
    </row>
    <row r="215" spans="1:12" x14ac:dyDescent="0.3">
      <c r="A215" t="s">
        <v>125</v>
      </c>
      <c r="B215" s="32">
        <f>4*($H$60-$K$57)/($K$58-$K$57)+1</f>
        <v>3</v>
      </c>
      <c r="C215" s="32">
        <f t="shared" si="99"/>
        <v>3.7585185185185228</v>
      </c>
      <c r="D215" s="32">
        <f t="shared" si="100"/>
        <v>3.6666666666666665</v>
      </c>
      <c r="E215" s="32">
        <f t="shared" si="101"/>
        <v>4.0769230769230766</v>
      </c>
      <c r="F215" s="32">
        <f t="shared" si="102"/>
        <v>2.6622222222222218</v>
      </c>
      <c r="G215" s="32">
        <f>5-4*($F$60-$P$57)/($P$58-$P$57)</f>
        <v>5</v>
      </c>
      <c r="H215" s="32">
        <f>5-4*($G$60-$Q$57)/($Q$58-$Q$57)</f>
        <v>5</v>
      </c>
      <c r="I215">
        <v>5</v>
      </c>
      <c r="J215" s="31">
        <f t="shared" si="98"/>
        <v>4.0205413105413115</v>
      </c>
      <c r="K215" s="31">
        <f t="shared" si="103"/>
        <v>3.9929862729862737</v>
      </c>
      <c r="L215" s="31">
        <f t="shared" si="104"/>
        <v>3.9641785375118705</v>
      </c>
    </row>
    <row r="216" spans="1:12" x14ac:dyDescent="0.3">
      <c r="A216" t="s">
        <v>126</v>
      </c>
      <c r="B216" s="32">
        <f>4*($H$61-$K$57)/($K$58-$K$57)+1</f>
        <v>3</v>
      </c>
      <c r="C216" s="32">
        <f t="shared" si="99"/>
        <v>3.7585185185185228</v>
      </c>
      <c r="D216" s="32">
        <f t="shared" si="100"/>
        <v>3.6666666666666665</v>
      </c>
      <c r="E216" s="32">
        <f t="shared" si="101"/>
        <v>4.8974358974358978</v>
      </c>
      <c r="F216" s="32">
        <f t="shared" si="102"/>
        <v>4.3422222222222224</v>
      </c>
      <c r="G216" s="32">
        <f>5-4*($F$61-$P$57)/($P$58-$P$57)</f>
        <v>4.666666666666667</v>
      </c>
      <c r="H216" s="32">
        <f>5-4*($G$61-$Q$57)/($Q$58-$Q$57)</f>
        <v>5</v>
      </c>
      <c r="I216">
        <v>5</v>
      </c>
      <c r="J216" s="31">
        <f t="shared" si="98"/>
        <v>4.2914387464387467</v>
      </c>
      <c r="K216" s="31">
        <f t="shared" si="103"/>
        <v>4.1596995596995603</v>
      </c>
      <c r="L216" s="31">
        <f t="shared" si="104"/>
        <v>4.3531528964862298</v>
      </c>
    </row>
    <row r="217" spans="1:12" x14ac:dyDescent="0.3">
      <c r="A217" t="s">
        <v>127</v>
      </c>
      <c r="B217" s="32">
        <f>4*($H$62-$K$57)/($K$58-$K$57)+1</f>
        <v>3</v>
      </c>
      <c r="C217" s="32">
        <f t="shared" si="99"/>
        <v>3.7585185185185228</v>
      </c>
      <c r="D217" s="32">
        <f t="shared" si="100"/>
        <v>4.3333333333333339</v>
      </c>
      <c r="E217" s="32">
        <f t="shared" si="101"/>
        <v>4.8974358974358978</v>
      </c>
      <c r="F217" s="32">
        <f t="shared" si="102"/>
        <v>4.5511111111111111</v>
      </c>
      <c r="G217" s="32">
        <f>5-4*($F$62-$P$57)/($P$58-$P$57)</f>
        <v>5</v>
      </c>
      <c r="H217" s="32">
        <f>5-4*($G$62-$Q$57)/($Q$58-$Q$57)</f>
        <v>5</v>
      </c>
      <c r="I217">
        <v>1</v>
      </c>
      <c r="J217" s="31">
        <f t="shared" si="98"/>
        <v>3.9425498575498583</v>
      </c>
      <c r="K217" s="31">
        <f t="shared" si="103"/>
        <v>3.936265216265217</v>
      </c>
      <c r="L217" s="31">
        <f t="shared" si="104"/>
        <v>4.1935232668566007</v>
      </c>
    </row>
    <row r="218" spans="1:12" x14ac:dyDescent="0.3">
      <c r="A218" t="s">
        <v>128</v>
      </c>
      <c r="B218" s="32">
        <f>4*($H$63-$K$57)/($K$58-$K$57)+1</f>
        <v>1</v>
      </c>
      <c r="C218" s="32">
        <v>0</v>
      </c>
      <c r="D218" s="32">
        <f t="shared" si="100"/>
        <v>4.3333333333333339</v>
      </c>
      <c r="E218" s="32">
        <f t="shared" si="101"/>
        <v>4.8974358974358978</v>
      </c>
      <c r="F218" s="32">
        <f t="shared" si="102"/>
        <v>3.8177777777777777</v>
      </c>
      <c r="G218" s="32">
        <f>5-4*($F$63-$P$57)/($P$58-$P$57)</f>
        <v>1.6666666666666665</v>
      </c>
      <c r="H218" s="32">
        <f>5-4*($G$63-$Q$57)/($Q$58-$Q$57)</f>
        <v>5</v>
      </c>
      <c r="I218">
        <v>5</v>
      </c>
      <c r="J218" s="31">
        <f t="shared" si="98"/>
        <v>3.2144017094017094</v>
      </c>
      <c r="K218" s="31">
        <f t="shared" si="103"/>
        <v>2.5801709401709405</v>
      </c>
      <c r="L218" s="31">
        <f t="shared" si="104"/>
        <v>3.6469800569800572</v>
      </c>
    </row>
    <row r="219" spans="1:12" x14ac:dyDescent="0.3">
      <c r="A219" t="s">
        <v>129</v>
      </c>
      <c r="B219" s="32">
        <f>4*($H$64-$K$57)/($K$58-$K$57)+1</f>
        <v>2.333333333333333</v>
      </c>
      <c r="C219" s="32">
        <f t="shared" si="99"/>
        <v>3.998518518518523</v>
      </c>
      <c r="D219" s="32">
        <f t="shared" si="100"/>
        <v>3</v>
      </c>
      <c r="E219" s="32">
        <f t="shared" si="101"/>
        <v>4.8974358974358978</v>
      </c>
      <c r="F219" s="32">
        <f t="shared" si="102"/>
        <v>2.9133333333333331</v>
      </c>
      <c r="G219" s="32">
        <f>5-4*($F$64-$P$57)/($P$58-$P$57)</f>
        <v>5</v>
      </c>
      <c r="H219" s="32">
        <f>5-4*($G$64-$Q$57)/($Q$58-$Q$57)</f>
        <v>5</v>
      </c>
      <c r="I219">
        <v>5</v>
      </c>
      <c r="J219" s="31">
        <f t="shared" si="98"/>
        <v>4.0178276353276363</v>
      </c>
      <c r="K219" s="31">
        <f t="shared" si="103"/>
        <v>3.9522248122248129</v>
      </c>
      <c r="L219" s="31">
        <f t="shared" si="104"/>
        <v>3.9961158594491937</v>
      </c>
    </row>
    <row r="220" spans="1:12" x14ac:dyDescent="0.3">
      <c r="A220" t="s">
        <v>130</v>
      </c>
      <c r="B220" s="32">
        <f>4*($H$65-$K$57)/($K$58-$K$57)+1</f>
        <v>1</v>
      </c>
      <c r="C220" s="32">
        <f t="shared" si="99"/>
        <v>2.748148148148152</v>
      </c>
      <c r="D220" s="32">
        <f t="shared" si="100"/>
        <v>5</v>
      </c>
      <c r="E220" s="32">
        <f t="shared" si="101"/>
        <v>4.8974358974358978</v>
      </c>
      <c r="F220" s="32">
        <f t="shared" si="102"/>
        <v>4.6288888888888886</v>
      </c>
      <c r="G220" s="32">
        <f>5-4*($F$65-$P$57)/($P$58-$P$57)</f>
        <v>5</v>
      </c>
      <c r="H220" s="32">
        <f>5-4*($G$65-$Q$57)/($Q$58-$Q$57)</f>
        <v>5</v>
      </c>
      <c r="I220">
        <v>5</v>
      </c>
      <c r="J220" s="31">
        <f t="shared" si="98"/>
        <v>4.1593091168091174</v>
      </c>
      <c r="K220" s="31">
        <f t="shared" si="103"/>
        <v>3.8202382802382813</v>
      </c>
      <c r="L220" s="31">
        <f t="shared" si="104"/>
        <v>4.4000664767331434</v>
      </c>
    </row>
    <row r="221" spans="1:12" x14ac:dyDescent="0.3">
      <c r="A221" t="s">
        <v>131</v>
      </c>
      <c r="B221" s="32">
        <f>4*($H$66-$K$57)/($K$58-$K$57)+1</f>
        <v>3</v>
      </c>
      <c r="C221" s="32">
        <f t="shared" si="99"/>
        <v>3.7585185185185228</v>
      </c>
      <c r="D221" s="32">
        <f t="shared" si="100"/>
        <v>3.6666666666666665</v>
      </c>
      <c r="E221" s="32">
        <f t="shared" si="101"/>
        <v>4.8974358974358978</v>
      </c>
      <c r="F221" s="32">
        <f t="shared" si="102"/>
        <v>3.9666666666666668</v>
      </c>
      <c r="G221" s="32">
        <f>5-4*($F$66-$P$57)/($P$58-$P$57)</f>
        <v>4.833333333333333</v>
      </c>
      <c r="H221" s="32">
        <f>5-4*($G$66-$Q$57)/($Q$58-$Q$57)</f>
        <v>5</v>
      </c>
      <c r="I221">
        <v>5</v>
      </c>
      <c r="J221" s="31">
        <f t="shared" si="98"/>
        <v>4.265327635327635</v>
      </c>
      <c r="K221" s="31">
        <f t="shared" si="103"/>
        <v>4.155861175861177</v>
      </c>
      <c r="L221" s="31">
        <f t="shared" si="104"/>
        <v>4.3044491927825268</v>
      </c>
    </row>
    <row r="223" spans="1:12" x14ac:dyDescent="0.3">
      <c r="A223" s="1" t="s">
        <v>105</v>
      </c>
      <c r="B223" t="s">
        <v>111</v>
      </c>
      <c r="C223" t="s">
        <v>69</v>
      </c>
      <c r="D223" t="s">
        <v>68</v>
      </c>
      <c r="E223" t="s">
        <v>70</v>
      </c>
      <c r="F223" t="s">
        <v>67</v>
      </c>
      <c r="G223" t="s">
        <v>112</v>
      </c>
      <c r="H223" t="s">
        <v>113</v>
      </c>
      <c r="I223" t="s">
        <v>114</v>
      </c>
      <c r="J223" t="s">
        <v>132</v>
      </c>
      <c r="K223" t="s">
        <v>120</v>
      </c>
      <c r="L223" t="s">
        <v>121</v>
      </c>
    </row>
    <row r="224" spans="1:12" x14ac:dyDescent="0.3">
      <c r="A224" t="s">
        <v>123</v>
      </c>
      <c r="B224" s="32">
        <f>4*($H$58-$K$57)/($K$58-$K$57)+1</f>
        <v>3</v>
      </c>
      <c r="C224" s="32">
        <f>4*(J46-$L$65)/($M$65-$L$65)+1</f>
        <v>3.0555555555555554</v>
      </c>
      <c r="D224" s="32">
        <f>4*(I46-$M$57)/($M$58-$M$57)+1</f>
        <v>5</v>
      </c>
      <c r="E224" s="32">
        <f>4*(K46-$N$57)/($N$58-$N$57)+1</f>
        <v>4.6923076923076925</v>
      </c>
      <c r="F224" s="32">
        <f>5-4*(H46-$O$57)/($O$58-$O$57)</f>
        <v>4.4733333333333336</v>
      </c>
      <c r="G224" s="32">
        <f>5-4*($F$58-$P$57)/($P$58-$P$57)</f>
        <v>5</v>
      </c>
      <c r="H224" s="32">
        <f>5-4*($G$58-$Q$57)/($Q$58-$Q$57)</f>
        <v>3.666666666666667</v>
      </c>
      <c r="I224">
        <v>5</v>
      </c>
      <c r="J224" s="31">
        <f t="shared" ref="J224:J232" si="105">AVERAGE(B224:I224)</f>
        <v>4.2359829059829064</v>
      </c>
      <c r="K224" s="31">
        <f>(2*(B224+C224+G224)+D224+E224+F224+H224+I224)/11</f>
        <v>4.0857653457653456</v>
      </c>
      <c r="L224" s="31">
        <f>(2*(D224+E224+F224+H224)+B224+C224+G224+I224)/12</f>
        <v>4.3100142450142451</v>
      </c>
    </row>
    <row r="225" spans="1:12" x14ac:dyDescent="0.3">
      <c r="A225" s="13" t="s">
        <v>124</v>
      </c>
      <c r="B225" s="32">
        <f>4*($H$59-$K$57)/($K$58-$K$57)+1</f>
        <v>2.1111111111111107</v>
      </c>
      <c r="C225" s="32">
        <f t="shared" ref="C225:C232" si="106">4*(J47-$L$65)/($M$65-$L$65)+1</f>
        <v>3.0555555555555554</v>
      </c>
      <c r="D225" s="32">
        <f t="shared" ref="D225:D232" si="107">4*(I47-$M$57)/($M$58-$M$57)+1</f>
        <v>5</v>
      </c>
      <c r="E225" s="32">
        <f t="shared" ref="E225:E232" si="108">4*(K47-$N$57)/($N$58-$N$57)+1</f>
        <v>4.8974358974358978</v>
      </c>
      <c r="F225" s="32">
        <f t="shared" ref="F225:F232" si="109">5-4*(H47-$O$57)/($O$58-$O$57)</f>
        <v>4.6288888888888886</v>
      </c>
      <c r="G225" s="32">
        <f>5-4*($F$59-$P$57)/($P$58-$P$57)</f>
        <v>5</v>
      </c>
      <c r="H225" s="32">
        <f>5-4*($G$59-$Q$57)/($Q$58-$Q$57)</f>
        <v>5</v>
      </c>
      <c r="I225">
        <v>5</v>
      </c>
      <c r="J225" s="31">
        <f t="shared" si="105"/>
        <v>4.3366239316239312</v>
      </c>
      <c r="K225" s="31">
        <f t="shared" ref="K225:K232" si="110">(2*(B225+C225+G225)+D225+E225+F225+H225+I225)/11</f>
        <v>4.0781507381507387</v>
      </c>
      <c r="L225" s="31">
        <f t="shared" ref="L225:L232" si="111">(2*(D225+E225+F225+H225)+B225+C225+G225+I225)/12</f>
        <v>4.5182763532763532</v>
      </c>
    </row>
    <row r="226" spans="1:12" x14ac:dyDescent="0.3">
      <c r="A226" t="s">
        <v>125</v>
      </c>
      <c r="B226" s="32">
        <f>4*($H$60-$K$57)/($K$58-$K$57)+1</f>
        <v>3</v>
      </c>
      <c r="C226" s="32">
        <f t="shared" si="106"/>
        <v>3.0555555555555554</v>
      </c>
      <c r="D226" s="32">
        <f t="shared" si="107"/>
        <v>4.3333333333333339</v>
      </c>
      <c r="E226" s="32">
        <f t="shared" si="108"/>
        <v>4.0769230769230766</v>
      </c>
      <c r="F226" s="32">
        <f t="shared" si="109"/>
        <v>2.7399999999999998</v>
      </c>
      <c r="G226" s="32">
        <f>5-4*($F$60-$P$57)/($P$58-$P$57)</f>
        <v>5</v>
      </c>
      <c r="H226" s="32">
        <f>5-4*($G$60-$Q$57)/($Q$58-$Q$57)</f>
        <v>5</v>
      </c>
      <c r="I226">
        <v>5</v>
      </c>
      <c r="J226" s="31">
        <f t="shared" si="105"/>
        <v>4.0257264957264951</v>
      </c>
      <c r="K226" s="31">
        <f t="shared" si="110"/>
        <v>3.9328515928515926</v>
      </c>
      <c r="L226" s="31">
        <f t="shared" si="111"/>
        <v>4.0296723646723649</v>
      </c>
    </row>
    <row r="227" spans="1:12" x14ac:dyDescent="0.3">
      <c r="A227" t="s">
        <v>126</v>
      </c>
      <c r="B227" s="32">
        <f>4*($H$61-$K$57)/($K$58-$K$57)+1</f>
        <v>3</v>
      </c>
      <c r="C227" s="32">
        <f t="shared" si="106"/>
        <v>3.7944444444444443</v>
      </c>
      <c r="D227" s="32">
        <f t="shared" si="107"/>
        <v>4.3333333333333339</v>
      </c>
      <c r="E227" s="32">
        <f t="shared" si="108"/>
        <v>4.8974358974358978</v>
      </c>
      <c r="F227" s="32">
        <f t="shared" si="109"/>
        <v>4.1822222222222223</v>
      </c>
      <c r="G227" s="32">
        <f>5-4*($F$61-$P$57)/($P$58-$P$57)</f>
        <v>4.666666666666667</v>
      </c>
      <c r="H227" s="32">
        <f>5-4*($G$61-$Q$57)/($Q$58-$Q$57)</f>
        <v>5</v>
      </c>
      <c r="I227">
        <v>5</v>
      </c>
      <c r="J227" s="31">
        <f t="shared" si="105"/>
        <v>4.3592628205128214</v>
      </c>
      <c r="K227" s="31">
        <f t="shared" si="110"/>
        <v>4.2122921522921528</v>
      </c>
      <c r="L227" s="31">
        <f t="shared" si="111"/>
        <v>4.4405911680911681</v>
      </c>
    </row>
    <row r="228" spans="1:12" x14ac:dyDescent="0.3">
      <c r="A228" t="s">
        <v>127</v>
      </c>
      <c r="B228" s="32">
        <f>4*($H$62-$K$57)/($K$58-$K$57)+1</f>
        <v>3</v>
      </c>
      <c r="C228" s="32">
        <f t="shared" si="106"/>
        <v>3.0555555555555554</v>
      </c>
      <c r="D228" s="32">
        <f t="shared" si="107"/>
        <v>5</v>
      </c>
      <c r="E228" s="32">
        <f t="shared" si="108"/>
        <v>4.8974358974358978</v>
      </c>
      <c r="F228" s="32">
        <f t="shared" si="109"/>
        <v>4.6288888888888886</v>
      </c>
      <c r="G228" s="32">
        <f>5-4*($F$62-$P$57)/($P$58-$P$57)</f>
        <v>5</v>
      </c>
      <c r="H228" s="32">
        <f>5-4*($G$62-$Q$57)/($Q$58-$Q$57)</f>
        <v>5</v>
      </c>
      <c r="I228">
        <v>1</v>
      </c>
      <c r="J228" s="31">
        <f t="shared" si="105"/>
        <v>3.9477350427350428</v>
      </c>
      <c r="K228" s="31">
        <f t="shared" si="110"/>
        <v>3.8761305361305363</v>
      </c>
      <c r="L228" s="31">
        <f t="shared" si="111"/>
        <v>4.2590170940170937</v>
      </c>
    </row>
    <row r="229" spans="1:12" x14ac:dyDescent="0.3">
      <c r="A229" t="s">
        <v>128</v>
      </c>
      <c r="B229" s="32">
        <f>4*($H$63-$K$57)/($K$58-$K$57)+1</f>
        <v>1</v>
      </c>
      <c r="C229" s="32">
        <v>0</v>
      </c>
      <c r="D229" s="32">
        <f t="shared" si="107"/>
        <v>5</v>
      </c>
      <c r="E229" s="32">
        <f t="shared" si="108"/>
        <v>4.8974358974358978</v>
      </c>
      <c r="F229" s="32">
        <f t="shared" si="109"/>
        <v>4.6288888888888886</v>
      </c>
      <c r="G229" s="32">
        <f>5-4*($F$63-$P$57)/($P$58-$P$57)</f>
        <v>1.6666666666666665</v>
      </c>
      <c r="H229" s="32">
        <f>5-4*($G$63-$Q$57)/($Q$58-$Q$57)</f>
        <v>5</v>
      </c>
      <c r="I229">
        <v>5</v>
      </c>
      <c r="J229" s="31">
        <f t="shared" si="105"/>
        <v>3.3991239316239317</v>
      </c>
      <c r="K229" s="31">
        <f t="shared" si="110"/>
        <v>2.7145143745143745</v>
      </c>
      <c r="L229" s="31">
        <f t="shared" si="111"/>
        <v>3.8932763532763528</v>
      </c>
    </row>
    <row r="230" spans="1:12" x14ac:dyDescent="0.3">
      <c r="A230" t="s">
        <v>129</v>
      </c>
      <c r="B230" s="32">
        <f>4*($H$64-$K$57)/($K$58-$K$57)+1</f>
        <v>2.333333333333333</v>
      </c>
      <c r="C230" s="32">
        <f t="shared" si="106"/>
        <v>3.0694444444444442</v>
      </c>
      <c r="D230" s="32">
        <f t="shared" si="107"/>
        <v>4.3333333333333339</v>
      </c>
      <c r="E230" s="32">
        <f t="shared" si="108"/>
        <v>4.7948717948717947</v>
      </c>
      <c r="F230" s="32">
        <f t="shared" si="109"/>
        <v>3.4844444444444447</v>
      </c>
      <c r="G230" s="32">
        <f>5-4*($F$64-$P$57)/($P$58-$P$57)</f>
        <v>5</v>
      </c>
      <c r="H230" s="32">
        <f>5-4*($G$64-$Q$57)/($Q$58-$Q$57)</f>
        <v>5</v>
      </c>
      <c r="I230">
        <v>5</v>
      </c>
      <c r="J230" s="31">
        <f t="shared" si="105"/>
        <v>4.126928418803419</v>
      </c>
      <c r="K230" s="31">
        <f t="shared" si="110"/>
        <v>3.9471095571095565</v>
      </c>
      <c r="L230" s="31">
        <f t="shared" si="111"/>
        <v>4.2190064102564104</v>
      </c>
    </row>
    <row r="231" spans="1:12" x14ac:dyDescent="0.3">
      <c r="A231" t="s">
        <v>130</v>
      </c>
      <c r="B231" s="32">
        <f>4*($H$65-$K$57)/($K$58-$K$57)+1</f>
        <v>1</v>
      </c>
      <c r="C231" s="32">
        <f t="shared" si="106"/>
        <v>3.0555555555555554</v>
      </c>
      <c r="D231" s="32">
        <f t="shared" si="107"/>
        <v>5</v>
      </c>
      <c r="E231" s="32">
        <f t="shared" si="108"/>
        <v>4.8974358974358978</v>
      </c>
      <c r="F231" s="32">
        <f t="shared" si="109"/>
        <v>4.6288888888888886</v>
      </c>
      <c r="G231" s="32">
        <f>5-4*($F$65-$P$57)/($P$58-$P$57)</f>
        <v>5</v>
      </c>
      <c r="H231" s="32">
        <f>5-4*($G$65-$Q$57)/($Q$58-$Q$57)</f>
        <v>5</v>
      </c>
      <c r="I231">
        <v>5</v>
      </c>
      <c r="J231" s="31">
        <f t="shared" si="105"/>
        <v>4.1977350427350428</v>
      </c>
      <c r="K231" s="31">
        <f t="shared" si="110"/>
        <v>3.8761305361305363</v>
      </c>
      <c r="L231" s="31">
        <f t="shared" si="111"/>
        <v>4.4256837606837607</v>
      </c>
    </row>
    <row r="232" spans="1:12" x14ac:dyDescent="0.3">
      <c r="A232" t="s">
        <v>131</v>
      </c>
      <c r="B232" s="32">
        <f>4*($H$66-$K$57)/($K$58-$K$57)+1</f>
        <v>3</v>
      </c>
      <c r="C232" s="32">
        <f t="shared" si="106"/>
        <v>3.8083333333333331</v>
      </c>
      <c r="D232" s="32">
        <f t="shared" si="107"/>
        <v>4.3333333333333339</v>
      </c>
      <c r="E232" s="32">
        <f t="shared" si="108"/>
        <v>4.8974358974358978</v>
      </c>
      <c r="F232" s="32">
        <f t="shared" si="109"/>
        <v>4.1911111111111108</v>
      </c>
      <c r="G232" s="32">
        <f>5-4*($F$66-$P$57)/($P$58-$P$57)</f>
        <v>4.833333333333333</v>
      </c>
      <c r="H232" s="32">
        <f>5-4*($G$66-$Q$57)/($Q$58-$Q$57)</f>
        <v>5</v>
      </c>
      <c r="I232">
        <v>5</v>
      </c>
      <c r="J232" s="31">
        <f t="shared" si="105"/>
        <v>4.3829433760683756</v>
      </c>
      <c r="K232" s="31">
        <f t="shared" si="110"/>
        <v>4.2459285159285161</v>
      </c>
      <c r="L232" s="31">
        <f t="shared" si="111"/>
        <v>4.4571189458689462</v>
      </c>
    </row>
    <row r="234" spans="1:12" x14ac:dyDescent="0.3">
      <c r="A234" s="1" t="s">
        <v>106</v>
      </c>
      <c r="B234" t="s">
        <v>111</v>
      </c>
      <c r="C234" t="s">
        <v>69</v>
      </c>
      <c r="D234" t="s">
        <v>68</v>
      </c>
      <c r="E234" t="s">
        <v>70</v>
      </c>
      <c r="F234" t="s">
        <v>67</v>
      </c>
      <c r="G234" t="s">
        <v>112</v>
      </c>
      <c r="H234" t="s">
        <v>113</v>
      </c>
      <c r="I234" t="s">
        <v>114</v>
      </c>
      <c r="J234" t="s">
        <v>132</v>
      </c>
      <c r="K234" t="s">
        <v>120</v>
      </c>
      <c r="L234" t="s">
        <v>121</v>
      </c>
    </row>
    <row r="235" spans="1:12" x14ac:dyDescent="0.3">
      <c r="A235" t="s">
        <v>123</v>
      </c>
      <c r="B235" s="32">
        <f>4*($H$58-$K$57)/($K$58-$K$57)+1</f>
        <v>3</v>
      </c>
      <c r="C235" s="32">
        <f>4*(P46-$L$65)/($M$65-$L$65)+1</f>
        <v>3.4722222222222219</v>
      </c>
      <c r="D235" s="32">
        <f>4*(O46-$M$57)/($M$58-$M$57)+1</f>
        <v>5</v>
      </c>
      <c r="E235" s="32">
        <f>4*(Q46-$N$57)/($N$58-$N$57)+1</f>
        <v>4.6923076923076925</v>
      </c>
      <c r="F235" s="32">
        <f>5-4*(N46-$O$57)/($O$58-$O$57)</f>
        <v>4.4733333333333336</v>
      </c>
      <c r="G235" s="32">
        <f>5-4*($F$58-$P$57)/($P$58-$P$57)</f>
        <v>5</v>
      </c>
      <c r="H235" s="32">
        <f>5-4*($G$58-$Q$57)/($Q$58-$Q$57)</f>
        <v>3.666666666666667</v>
      </c>
      <c r="I235">
        <v>5</v>
      </c>
      <c r="J235" s="31">
        <f t="shared" ref="J235:J243" si="112">AVERAGE(B235:I235)</f>
        <v>4.2880662393162394</v>
      </c>
      <c r="K235" s="31">
        <f>(2*(B235+C235+G235)+D235+E235+F235+H235+I235)/11</f>
        <v>4.1615229215229217</v>
      </c>
      <c r="L235" s="31">
        <f>(2*(D235+E235+F235+H235)+B235+C235+G235+I235)/12</f>
        <v>4.3447364672364674</v>
      </c>
    </row>
    <row r="236" spans="1:12" x14ac:dyDescent="0.3">
      <c r="A236" s="13" t="s">
        <v>124</v>
      </c>
      <c r="B236" s="32">
        <f>4*($H$59-$K$57)/($K$58-$K$57)+1</f>
        <v>2.1111111111111107</v>
      </c>
      <c r="C236" s="32">
        <f t="shared" ref="C236:C243" si="113">4*(P47-$L$65)/($M$65-$L$65)+1</f>
        <v>3.4722222222222219</v>
      </c>
      <c r="D236" s="32">
        <f t="shared" ref="D236:D243" si="114">4*(O47-$M$57)/($M$58-$M$57)+1</f>
        <v>5</v>
      </c>
      <c r="E236" s="32">
        <f t="shared" ref="E236:E243" si="115">4*(Q47-$N$57)/($N$58-$N$57)+1</f>
        <v>4.8974358974358978</v>
      </c>
      <c r="F236" s="32">
        <f t="shared" ref="F236:F243" si="116">5-4*(N47-$O$57)/($O$58-$O$57)</f>
        <v>4.6288888888888886</v>
      </c>
      <c r="G236" s="32">
        <f>5-4*($F$59-$P$57)/($P$58-$P$57)</f>
        <v>5</v>
      </c>
      <c r="H236" s="32">
        <f>5-4*($G$59-$Q$57)/($Q$58-$Q$57)</f>
        <v>5</v>
      </c>
      <c r="I236">
        <v>5</v>
      </c>
      <c r="J236" s="31">
        <f t="shared" si="112"/>
        <v>4.3887072649572652</v>
      </c>
      <c r="K236" s="31">
        <f t="shared" ref="K236:K243" si="117">(2*(B236+C236+G236)+D236+E236+F236+H236+I236)/11</f>
        <v>4.1539083139083139</v>
      </c>
      <c r="L236" s="31">
        <f t="shared" ref="L236:L243" si="118">(2*(D236+E236+F236+H236)+B236+C236+G236+I236)/12</f>
        <v>4.5529985754985756</v>
      </c>
    </row>
    <row r="237" spans="1:12" x14ac:dyDescent="0.3">
      <c r="A237" t="s">
        <v>125</v>
      </c>
      <c r="B237" s="32">
        <f>4*($H$60-$K$57)/($K$58-$K$57)+1</f>
        <v>3</v>
      </c>
      <c r="C237" s="32">
        <f t="shared" si="113"/>
        <v>3.4722222222222219</v>
      </c>
      <c r="D237" s="32">
        <f t="shared" si="114"/>
        <v>4.3333333333333339</v>
      </c>
      <c r="E237" s="32">
        <f t="shared" si="115"/>
        <v>4.0769230769230766</v>
      </c>
      <c r="F237" s="32">
        <f t="shared" si="116"/>
        <v>2.7399999999999998</v>
      </c>
      <c r="G237" s="32">
        <f>5-4*($F$60-$P$57)/($P$58-$P$57)</f>
        <v>5</v>
      </c>
      <c r="H237" s="32">
        <f>5-4*($G$60-$Q$57)/($Q$58-$Q$57)</f>
        <v>5</v>
      </c>
      <c r="I237">
        <v>5</v>
      </c>
      <c r="J237" s="31">
        <f t="shared" si="112"/>
        <v>4.077809829059829</v>
      </c>
      <c r="K237" s="31">
        <f t="shared" si="117"/>
        <v>4.0086091686091683</v>
      </c>
      <c r="L237" s="31">
        <f t="shared" si="118"/>
        <v>4.0643945868945872</v>
      </c>
    </row>
    <row r="238" spans="1:12" x14ac:dyDescent="0.3">
      <c r="A238" t="s">
        <v>126</v>
      </c>
      <c r="B238" s="32">
        <f>4*($H$61-$K$57)/($K$58-$K$57)+1</f>
        <v>3</v>
      </c>
      <c r="C238" s="32">
        <f t="shared" si="113"/>
        <v>3.4722222222222219</v>
      </c>
      <c r="D238" s="32">
        <f t="shared" si="114"/>
        <v>5</v>
      </c>
      <c r="E238" s="32">
        <f t="shared" si="115"/>
        <v>4.8974358974358978</v>
      </c>
      <c r="F238" s="32">
        <f t="shared" si="116"/>
        <v>4.6288888888888886</v>
      </c>
      <c r="G238" s="32">
        <f>5-4*($F$61-$P$57)/($P$58-$P$57)</f>
        <v>4.666666666666667</v>
      </c>
      <c r="H238" s="32">
        <f>5-4*($G$61-$Q$57)/($Q$58-$Q$57)</f>
        <v>5</v>
      </c>
      <c r="I238">
        <v>5</v>
      </c>
      <c r="J238" s="31">
        <f t="shared" si="112"/>
        <v>4.4581517094017098</v>
      </c>
      <c r="K238" s="31">
        <f t="shared" si="117"/>
        <v>4.2549184149184152</v>
      </c>
      <c r="L238" s="31">
        <f t="shared" si="118"/>
        <v>4.5992948717948714</v>
      </c>
    </row>
    <row r="239" spans="1:12" x14ac:dyDescent="0.3">
      <c r="A239" t="s">
        <v>127</v>
      </c>
      <c r="B239" s="32">
        <f>4*($H$62-$K$57)/($K$58-$K$57)+1</f>
        <v>3</v>
      </c>
      <c r="C239" s="32">
        <f t="shared" si="113"/>
        <v>3.4722222222222219</v>
      </c>
      <c r="D239" s="32">
        <f t="shared" si="114"/>
        <v>5</v>
      </c>
      <c r="E239" s="32">
        <f t="shared" si="115"/>
        <v>4.8974358974358978</v>
      </c>
      <c r="F239" s="32">
        <f t="shared" si="116"/>
        <v>4.6288888888888886</v>
      </c>
      <c r="G239" s="32">
        <f>5-4*($F$62-$P$57)/($P$58-$P$57)</f>
        <v>5</v>
      </c>
      <c r="H239" s="32">
        <f>5-4*($G$62-$Q$57)/($Q$58-$Q$57)</f>
        <v>5</v>
      </c>
      <c r="I239">
        <v>1</v>
      </c>
      <c r="J239" s="31">
        <f t="shared" si="112"/>
        <v>3.9998183760683759</v>
      </c>
      <c r="K239" s="31">
        <f t="shared" si="117"/>
        <v>3.9518881118881115</v>
      </c>
      <c r="L239" s="31">
        <f t="shared" si="118"/>
        <v>4.293739316239316</v>
      </c>
    </row>
    <row r="240" spans="1:12" x14ac:dyDescent="0.3">
      <c r="A240" t="s">
        <v>128</v>
      </c>
      <c r="B240" s="32">
        <f>4*($H$63-$K$57)/($K$58-$K$57)+1</f>
        <v>1</v>
      </c>
      <c r="C240" s="32">
        <v>0</v>
      </c>
      <c r="D240" s="32">
        <f t="shared" si="114"/>
        <v>5</v>
      </c>
      <c r="E240" s="32">
        <f t="shared" si="115"/>
        <v>4.8974358974358978</v>
      </c>
      <c r="F240" s="32">
        <f t="shared" si="116"/>
        <v>4.6288888888888886</v>
      </c>
      <c r="G240" s="32">
        <f>5-4*($F$63-$P$57)/($P$58-$P$57)</f>
        <v>1.6666666666666665</v>
      </c>
      <c r="H240" s="32">
        <f>5-4*($G$63-$Q$57)/($Q$58-$Q$57)</f>
        <v>5</v>
      </c>
      <c r="I240">
        <v>5</v>
      </c>
      <c r="J240" s="31">
        <f t="shared" si="112"/>
        <v>3.3991239316239317</v>
      </c>
      <c r="K240" s="31">
        <f t="shared" si="117"/>
        <v>2.7145143745143745</v>
      </c>
      <c r="L240" s="31">
        <f t="shared" si="118"/>
        <v>3.8932763532763528</v>
      </c>
    </row>
    <row r="241" spans="1:15" x14ac:dyDescent="0.3">
      <c r="A241" t="s">
        <v>129</v>
      </c>
      <c r="B241" s="32">
        <f>4*($H$64-$K$57)/($K$58-$K$57)+1</f>
        <v>2.333333333333333</v>
      </c>
      <c r="C241" s="32">
        <f t="shared" si="113"/>
        <v>3.3944444444444444</v>
      </c>
      <c r="D241" s="32">
        <f t="shared" si="114"/>
        <v>4.3333333333333339</v>
      </c>
      <c r="E241" s="32">
        <f t="shared" si="115"/>
        <v>4.6923076923076925</v>
      </c>
      <c r="F241" s="32">
        <f t="shared" si="116"/>
        <v>2.7399999999999998</v>
      </c>
      <c r="G241" s="32">
        <f>5-4*($F$64-$P$57)/($P$58-$P$57)</f>
        <v>5</v>
      </c>
      <c r="H241" s="32">
        <f>5-4*($G$64-$Q$57)/($Q$58-$Q$57)</f>
        <v>5</v>
      </c>
      <c r="I241">
        <v>5</v>
      </c>
      <c r="J241" s="31">
        <f t="shared" si="112"/>
        <v>4.0616773504273507</v>
      </c>
      <c r="K241" s="31">
        <f t="shared" si="117"/>
        <v>3.9291996891996899</v>
      </c>
      <c r="L241" s="31">
        <f t="shared" si="118"/>
        <v>4.1049216524216527</v>
      </c>
    </row>
    <row r="242" spans="1:15" x14ac:dyDescent="0.3">
      <c r="A242" t="s">
        <v>130</v>
      </c>
      <c r="B242" s="32">
        <f>4*($H$65-$K$57)/($K$58-$K$57)+1</f>
        <v>1</v>
      </c>
      <c r="C242" s="32">
        <f t="shared" si="113"/>
        <v>3.4722222222222219</v>
      </c>
      <c r="D242" s="32">
        <f t="shared" si="114"/>
        <v>5</v>
      </c>
      <c r="E242" s="32">
        <f t="shared" si="115"/>
        <v>4.8974358974358978</v>
      </c>
      <c r="F242" s="32">
        <f t="shared" si="116"/>
        <v>4.6288888888888886</v>
      </c>
      <c r="G242" s="32">
        <f>5-4*($F$65-$P$57)/($P$58-$P$57)</f>
        <v>5</v>
      </c>
      <c r="H242" s="32">
        <f>5-4*($G$65-$Q$57)/($Q$58-$Q$57)</f>
        <v>5</v>
      </c>
      <c r="I242">
        <v>5</v>
      </c>
      <c r="J242" s="31">
        <f t="shared" si="112"/>
        <v>4.2498183760683759</v>
      </c>
      <c r="K242" s="31">
        <f t="shared" si="117"/>
        <v>3.9518881118881115</v>
      </c>
      <c r="L242" s="31">
        <f t="shared" si="118"/>
        <v>4.460405982905983</v>
      </c>
    </row>
    <row r="243" spans="1:15" x14ac:dyDescent="0.3">
      <c r="A243" t="s">
        <v>131</v>
      </c>
      <c r="B243" s="32">
        <f>4*($H$66-$K$57)/($K$58-$K$57)+1</f>
        <v>3</v>
      </c>
      <c r="C243" s="32">
        <f t="shared" si="113"/>
        <v>3.4722222222222219</v>
      </c>
      <c r="D243" s="32">
        <f t="shared" si="114"/>
        <v>5</v>
      </c>
      <c r="E243" s="32">
        <f t="shared" si="115"/>
        <v>4.8974358974358978</v>
      </c>
      <c r="F243" s="32">
        <f t="shared" si="116"/>
        <v>4.6288888888888886</v>
      </c>
      <c r="G243" s="32">
        <f>5-4*($F$66-$P$57)/($P$58-$P$57)</f>
        <v>4.833333333333333</v>
      </c>
      <c r="H243" s="32">
        <f>5-4*($G$66-$Q$57)/($Q$58-$Q$57)</f>
        <v>5</v>
      </c>
      <c r="I243">
        <v>5</v>
      </c>
      <c r="J243" s="31">
        <f t="shared" si="112"/>
        <v>4.4789850427350419</v>
      </c>
      <c r="K243" s="31">
        <f t="shared" si="117"/>
        <v>4.2852214452214445</v>
      </c>
      <c r="L243" s="31">
        <f t="shared" si="118"/>
        <v>4.6131837606837607</v>
      </c>
      <c r="O243" t="s">
        <v>133</v>
      </c>
    </row>
    <row r="244" spans="1:15" x14ac:dyDescent="0.3">
      <c r="O244" t="s">
        <v>134</v>
      </c>
    </row>
    <row r="245" spans="1:15" x14ac:dyDescent="0.3">
      <c r="O245" t="s">
        <v>135</v>
      </c>
    </row>
    <row r="246" spans="1:15" x14ac:dyDescent="0.3">
      <c r="O246" t="s">
        <v>136</v>
      </c>
    </row>
    <row r="247" spans="1:15" x14ac:dyDescent="0.3">
      <c r="O247" t="s">
        <v>137</v>
      </c>
    </row>
    <row r="248" spans="1:15" x14ac:dyDescent="0.3">
      <c r="O248" t="s">
        <v>138</v>
      </c>
    </row>
    <row r="249" spans="1:15" x14ac:dyDescent="0.3">
      <c r="O249" t="s">
        <v>139</v>
      </c>
    </row>
    <row r="250" spans="1:15" x14ac:dyDescent="0.3">
      <c r="O250" t="s">
        <v>140</v>
      </c>
    </row>
    <row r="251" spans="1:15" x14ac:dyDescent="0.3">
      <c r="O251" t="s">
        <v>141</v>
      </c>
    </row>
    <row r="252" spans="1:15" x14ac:dyDescent="0.3">
      <c r="O252" t="s">
        <v>142</v>
      </c>
    </row>
    <row r="253" spans="1:15" x14ac:dyDescent="0.3">
      <c r="O253" t="s">
        <v>143</v>
      </c>
    </row>
    <row r="254" spans="1:15" x14ac:dyDescent="0.3">
      <c r="O254" t="s">
        <v>144</v>
      </c>
    </row>
    <row r="255" spans="1:15" x14ac:dyDescent="0.3">
      <c r="O255" t="s">
        <v>145</v>
      </c>
    </row>
    <row r="256" spans="1:15" x14ac:dyDescent="0.3">
      <c r="O256" t="s">
        <v>146</v>
      </c>
    </row>
    <row r="257" spans="15:15" x14ac:dyDescent="0.3">
      <c r="O257" t="s">
        <v>147</v>
      </c>
    </row>
  </sheetData>
  <conditionalFormatting sqref="B2:B10 H2:H10 N2:N10 B21 H21 N13:N21 B24:B32 H24:H32 N24:N32 B35:B43 H35:H43 N35:N43 B46:B54 H46:H54 N46:N54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0 I56:I57 H2:H10 N2:N10 B13:B21 B24:B32 H13:H21 H24:H32 N13:N21 N24:N32 B35:B43 B46:B54 H35:H43 H46:H54 N35:N43 N46:N54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0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B20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B3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B4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B53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8:B66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0 I2:I10 O2:O10 C13:C21 I13:I21 O13:O21 C24:C32 I24:I32 O24:O32 C35:C43 I35:I43 O35:O43 C46:C54 I46:I54 O46:O54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 I2:I10 O2:O10 O13:O21 I13:I21 C13:C21 C24:C32 I24:I32 O24:O32 C35:C43 C46:C54 I35:I43 I46:I54 O35:O43 O46:O5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10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C20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C31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C42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6:C5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8:C66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 J2:J10 P2:P10 D13:D21 J13:J22 P13:P21 D24:D32 J24:J32 P24:P32 D35:D43 J35:J43 P35:P43 D46:D54 J46:J54 P46:P54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0 J2:J10 P2:P10 P13:P21 J13:J21 D13:D21 D24:D32 J24:J32 P24:P32 D35:D43 D46:D54 J35:J43 J46:J54 P46:P54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:D1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3:D20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D31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5:D42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3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D53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D66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 K2:K10 Q2:Q10 Q13:Q21 K13:K21 E13:E21 E24:E32 K24:K32 Q24:Q32 E35:E43 E46:E54 K35:K43 K46:K54 Q35:Q43 Q46:Q5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 S8 K2:K10 Q2:Q10 E13:E21 K13:K21 Q13:Q21 E24:E32 K24:K32 Q24:Q32 E35:E43 K35:K43 Q35:Q43 E46:E54 K46:K54 Q46:Q54 E58:E66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10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:E2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1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E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5:E4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3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E5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8:E66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10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H2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4:H3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5:H4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6:H53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0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:I20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4:I31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5:I4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3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:I53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3:J20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1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4:J31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5:J42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3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6:J53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9:J7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1:J8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2:J100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3:J111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4:J122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5:J133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6:J144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7:J15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8:J1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9:J177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0:J18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91:J19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2:J21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3:J2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24:J23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5:J24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:K2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4:K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5:K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6:K5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9:K7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81:K8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92:K10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3:K111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4:K12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25:K13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6:K144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7:K15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58:K1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69:K177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0:K18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1:K19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2:K21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3:K22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24:K2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35:K24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9:L78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1:L8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92:L10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03:L11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14:L12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25:L13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6:L14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7:L15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8:L16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9:L177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0:L18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91:L19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2:L21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3:L2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4:L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5:L2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10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N20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1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:N31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:N4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N53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54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0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3:O20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4:O31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2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5:O42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3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6:O53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5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3:P20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4:P31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2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5:P42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6:P53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4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10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3:Q20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4:Q3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5:Q42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3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6:Q53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5F53F-50C7-434F-B244-0FBE0B67BF62}">
  <dimension ref="A1:J161"/>
  <sheetViews>
    <sheetView workbookViewId="0">
      <selection activeCell="C7" sqref="C7"/>
    </sheetView>
  </sheetViews>
  <sheetFormatPr defaultRowHeight="14.4" x14ac:dyDescent="0.3"/>
  <cols>
    <col min="1" max="1" width="20" customWidth="1"/>
    <col min="10" max="10" width="18.109375" customWidth="1"/>
  </cols>
  <sheetData>
    <row r="1" spans="1:10" x14ac:dyDescent="0.3">
      <c r="A1" s="1"/>
      <c r="B1" t="s">
        <v>111</v>
      </c>
      <c r="C1" t="s">
        <v>69</v>
      </c>
      <c r="D1" t="s">
        <v>68</v>
      </c>
      <c r="E1" t="s">
        <v>70</v>
      </c>
      <c r="F1" t="s">
        <v>67</v>
      </c>
      <c r="G1" t="s">
        <v>112</v>
      </c>
      <c r="H1" t="s">
        <v>113</v>
      </c>
      <c r="I1" t="s">
        <v>114</v>
      </c>
      <c r="J1" t="s">
        <v>148</v>
      </c>
    </row>
    <row r="2" spans="1:10" x14ac:dyDescent="0.3">
      <c r="A2" t="s">
        <v>77</v>
      </c>
      <c r="B2" s="32">
        <f>Summary!B70</f>
        <v>3</v>
      </c>
      <c r="C2" s="32">
        <f>Summary!C70</f>
        <v>4.7807783955520256</v>
      </c>
      <c r="D2" s="32">
        <f>Summary!D70</f>
        <v>3.7555555555555555</v>
      </c>
      <c r="E2" s="32">
        <f>Summary!E70</f>
        <v>4.528205128205129</v>
      </c>
      <c r="F2" s="32">
        <f>Summary!F70</f>
        <v>3.7897777777777777</v>
      </c>
      <c r="G2" s="32">
        <f>Summary!G70</f>
        <v>5</v>
      </c>
      <c r="H2" s="32">
        <f>Summary!H70</f>
        <v>3.666666666666667</v>
      </c>
      <c r="I2" s="32">
        <f>Summary!I70</f>
        <v>5</v>
      </c>
      <c r="J2" t="s">
        <v>149</v>
      </c>
    </row>
    <row r="3" spans="1:10" x14ac:dyDescent="0.3">
      <c r="A3" s="13" t="s">
        <v>79</v>
      </c>
      <c r="B3" s="32">
        <f>Summary!B71</f>
        <v>2.1111111111111107</v>
      </c>
      <c r="C3" s="32">
        <f>Summary!C71</f>
        <v>4.005559968228753</v>
      </c>
      <c r="D3" s="32">
        <f>Summary!D71</f>
        <v>3.9777777777777783</v>
      </c>
      <c r="E3" s="32">
        <f>Summary!E71</f>
        <v>4.747008547008547</v>
      </c>
      <c r="F3" s="32">
        <f>Summary!F71</f>
        <v>4.0832592592592594</v>
      </c>
      <c r="G3" s="32">
        <f>Summary!G71</f>
        <v>5</v>
      </c>
      <c r="H3" s="32">
        <f>Summary!H71</f>
        <v>5</v>
      </c>
      <c r="I3" s="32">
        <f>Summary!I71</f>
        <v>5</v>
      </c>
      <c r="J3" t="s">
        <v>149</v>
      </c>
    </row>
    <row r="4" spans="1:10" x14ac:dyDescent="0.3">
      <c r="A4" t="s">
        <v>81</v>
      </c>
      <c r="B4" s="32">
        <f>Summary!B72</f>
        <v>3</v>
      </c>
      <c r="C4" s="32">
        <f>Summary!C72</f>
        <v>4.7701879798782105</v>
      </c>
      <c r="D4" s="32">
        <f>Summary!D72</f>
        <v>3.1333333333333333</v>
      </c>
      <c r="E4" s="32">
        <f>Summary!E72</f>
        <v>4.1042735042735048</v>
      </c>
      <c r="F4" s="32">
        <f>Summary!F72</f>
        <v>2.8364444444444441</v>
      </c>
      <c r="G4" s="32">
        <f>Summary!G72</f>
        <v>5</v>
      </c>
      <c r="H4" s="32">
        <f>Summary!H72</f>
        <v>5</v>
      </c>
      <c r="I4" s="32">
        <f>Summary!I72</f>
        <v>5</v>
      </c>
      <c r="J4" t="s">
        <v>149</v>
      </c>
    </row>
    <row r="5" spans="1:10" x14ac:dyDescent="0.3">
      <c r="A5" t="s">
        <v>150</v>
      </c>
      <c r="B5" s="32">
        <f>Summary!B73</f>
        <v>3</v>
      </c>
      <c r="C5" s="32">
        <f>Summary!C73</f>
        <v>5</v>
      </c>
      <c r="D5" s="32">
        <f>Summary!D73</f>
        <v>3.8888888888888888</v>
      </c>
      <c r="E5" s="32">
        <f>Summary!E73</f>
        <v>4.6444444444444439</v>
      </c>
      <c r="F5" s="32">
        <f>Summary!F73</f>
        <v>4.1207407407407404</v>
      </c>
      <c r="G5" s="32">
        <f>Summary!G73</f>
        <v>4.666666666666667</v>
      </c>
      <c r="H5" s="32">
        <f>Summary!H73</f>
        <v>5</v>
      </c>
      <c r="I5" s="32">
        <f>Summary!I73</f>
        <v>5</v>
      </c>
      <c r="J5" t="s">
        <v>149</v>
      </c>
    </row>
    <row r="6" spans="1:10" x14ac:dyDescent="0.3">
      <c r="A6" t="s">
        <v>91</v>
      </c>
      <c r="B6" s="32">
        <f>Summary!B73</f>
        <v>3</v>
      </c>
      <c r="C6" s="32">
        <f>Summary!C73</f>
        <v>5</v>
      </c>
      <c r="D6" s="32">
        <f>Summary!D73</f>
        <v>3.8888888888888888</v>
      </c>
      <c r="E6" s="32">
        <f>Summary!E73</f>
        <v>4.6444444444444439</v>
      </c>
      <c r="F6" s="32">
        <f>Summary!F73</f>
        <v>4.1207407407407404</v>
      </c>
      <c r="G6" s="32">
        <f>Summary!G73</f>
        <v>4.666666666666667</v>
      </c>
      <c r="H6" s="32">
        <f>Summary!H73</f>
        <v>5</v>
      </c>
      <c r="I6" s="32">
        <f>Summary!I73</f>
        <v>5</v>
      </c>
      <c r="J6" t="s">
        <v>149</v>
      </c>
    </row>
    <row r="7" spans="1:10" x14ac:dyDescent="0.3">
      <c r="A7" t="s">
        <v>151</v>
      </c>
      <c r="B7" s="32">
        <f>Summary!B74</f>
        <v>3</v>
      </c>
      <c r="C7" s="32">
        <f>Summary!C74</f>
        <v>4.751654752449034</v>
      </c>
      <c r="D7" s="32">
        <f>Summary!D74</f>
        <v>3.666666666666667</v>
      </c>
      <c r="E7" s="32">
        <f>Summary!E74</f>
        <v>4.6786324786324789</v>
      </c>
      <c r="F7" s="32">
        <f>Summary!F74</f>
        <v>3.8485925925925928</v>
      </c>
      <c r="G7" s="32">
        <f>Summary!G74</f>
        <v>5</v>
      </c>
      <c r="H7" s="32">
        <f>Summary!H74</f>
        <v>5</v>
      </c>
      <c r="I7" s="32">
        <f>Summary!I74</f>
        <v>1</v>
      </c>
      <c r="J7" t="s">
        <v>149</v>
      </c>
    </row>
    <row r="8" spans="1:10" x14ac:dyDescent="0.3">
      <c r="A8" t="s">
        <v>89</v>
      </c>
      <c r="B8" s="32">
        <f>Summary!B75</f>
        <v>1</v>
      </c>
      <c r="C8" s="32">
        <f>Summary!C75</f>
        <v>0</v>
      </c>
      <c r="D8" s="32">
        <f>Summary!D75</f>
        <v>4.5111111111111111</v>
      </c>
      <c r="E8" s="32">
        <f>Summary!E75</f>
        <v>4.8427350427350433</v>
      </c>
      <c r="F8" s="32">
        <f>Summary!F75</f>
        <v>4.1410370370370364</v>
      </c>
      <c r="G8" s="32">
        <f>Summary!G75</f>
        <v>1.6666666666666665</v>
      </c>
      <c r="H8" s="32">
        <f>Summary!H75</f>
        <v>5</v>
      </c>
      <c r="I8" s="32">
        <f>Summary!I75</f>
        <v>5</v>
      </c>
      <c r="J8" t="s">
        <v>149</v>
      </c>
    </row>
    <row r="9" spans="1:10" x14ac:dyDescent="0.3">
      <c r="A9" t="s">
        <v>152</v>
      </c>
      <c r="B9" s="32">
        <f>Summary!B76</f>
        <v>2.333333333333333</v>
      </c>
      <c r="C9" s="32">
        <f>Summary!C76</f>
        <v>4.6049774953666933</v>
      </c>
      <c r="D9" s="32">
        <f>Summary!D76</f>
        <v>3.4</v>
      </c>
      <c r="E9" s="32">
        <f>Summary!E76</f>
        <v>4.7059829059829061</v>
      </c>
      <c r="F9" s="32">
        <f>Summary!F76</f>
        <v>3.0297777777777779</v>
      </c>
      <c r="G9" s="32">
        <f>Summary!G76</f>
        <v>5</v>
      </c>
      <c r="H9" s="32">
        <f>Summary!H76</f>
        <v>5</v>
      </c>
      <c r="I9" s="32">
        <f>Summary!I76</f>
        <v>5</v>
      </c>
      <c r="J9" t="s">
        <v>149</v>
      </c>
    </row>
    <row r="10" spans="1:10" x14ac:dyDescent="0.3">
      <c r="A10" t="s">
        <v>87</v>
      </c>
      <c r="B10" s="32">
        <f>Summary!B77</f>
        <v>1</v>
      </c>
      <c r="C10" s="32">
        <f>Summary!C77</f>
        <v>1</v>
      </c>
      <c r="D10" s="32">
        <f>Summary!D77</f>
        <v>5</v>
      </c>
      <c r="E10" s="32">
        <f>Summary!E77</f>
        <v>4.8974358974358978</v>
      </c>
      <c r="F10" s="32">
        <f>Summary!F77</f>
        <v>4.6288888888888886</v>
      </c>
      <c r="G10" s="32">
        <f>Summary!G77</f>
        <v>5</v>
      </c>
      <c r="H10" s="32">
        <f>Summary!H77</f>
        <v>5</v>
      </c>
      <c r="I10" s="32">
        <f>Summary!I77</f>
        <v>5</v>
      </c>
      <c r="J10" t="s">
        <v>149</v>
      </c>
    </row>
    <row r="11" spans="1:10" x14ac:dyDescent="0.3">
      <c r="A11" t="s">
        <v>153</v>
      </c>
      <c r="B11" s="32">
        <f>Summary!B78</f>
        <v>3</v>
      </c>
      <c r="C11" s="32">
        <f>Summary!C78</f>
        <v>4.8845644691554142</v>
      </c>
      <c r="D11" s="32">
        <f>Summary!D78</f>
        <v>3.5777777777777779</v>
      </c>
      <c r="E11" s="32">
        <f>Summary!E78</f>
        <v>4.6923076923076925</v>
      </c>
      <c r="F11" s="32">
        <f>Summary!F78</f>
        <v>3.8522962962962963</v>
      </c>
      <c r="G11" s="32">
        <f>Summary!G78</f>
        <v>4.833333333333333</v>
      </c>
      <c r="H11" s="32">
        <f>Summary!H78</f>
        <v>5</v>
      </c>
      <c r="I11" s="32">
        <f>Summary!I78</f>
        <v>5</v>
      </c>
      <c r="J11" t="s">
        <v>149</v>
      </c>
    </row>
    <row r="12" spans="1:10" x14ac:dyDescent="0.3">
      <c r="A12" t="s">
        <v>77</v>
      </c>
      <c r="B12" s="32">
        <f>Summary!B81</f>
        <v>3</v>
      </c>
      <c r="C12" s="32">
        <f>Summary!C81</f>
        <v>5</v>
      </c>
      <c r="D12" s="32">
        <f>Summary!D81</f>
        <v>4.3333333333333339</v>
      </c>
      <c r="E12" s="32">
        <f>Summary!E81</f>
        <v>4.2820512820512819</v>
      </c>
      <c r="F12" s="32">
        <f>Summary!F81</f>
        <v>4.097777777777778</v>
      </c>
      <c r="G12" s="32">
        <f>Summary!G81</f>
        <v>5</v>
      </c>
      <c r="H12" s="32">
        <f>Summary!H81</f>
        <v>3.666666666666667</v>
      </c>
      <c r="I12" s="32">
        <f>Summary!I81</f>
        <v>5</v>
      </c>
      <c r="J12" t="s">
        <v>154</v>
      </c>
    </row>
    <row r="13" spans="1:10" x14ac:dyDescent="0.3">
      <c r="A13" s="13" t="s">
        <v>79</v>
      </c>
      <c r="B13" s="32">
        <f>Summary!B82</f>
        <v>2.1111111111111107</v>
      </c>
      <c r="C13" s="32">
        <f>Summary!C82</f>
        <v>5</v>
      </c>
      <c r="D13" s="32">
        <f>Summary!D82</f>
        <v>3.6666666666666665</v>
      </c>
      <c r="E13" s="32">
        <f>Summary!E82</f>
        <v>4.2820512820512819</v>
      </c>
      <c r="F13" s="32">
        <f>Summary!F82</f>
        <v>3.8844444444444441</v>
      </c>
      <c r="G13" s="32">
        <f>Summary!G82</f>
        <v>5</v>
      </c>
      <c r="H13" s="32">
        <f>Summary!H82</f>
        <v>5</v>
      </c>
      <c r="I13" s="32">
        <f>Summary!I82</f>
        <v>5</v>
      </c>
      <c r="J13" t="s">
        <v>154</v>
      </c>
    </row>
    <row r="14" spans="1:10" x14ac:dyDescent="0.3">
      <c r="A14" t="s">
        <v>81</v>
      </c>
      <c r="B14" s="32">
        <f>Summary!B83</f>
        <v>3</v>
      </c>
      <c r="C14" s="32">
        <f>Summary!C83</f>
        <v>5</v>
      </c>
      <c r="D14" s="32">
        <f>Summary!D83</f>
        <v>4.3333333333333339</v>
      </c>
      <c r="E14" s="32">
        <f>Summary!E83</f>
        <v>4.4871794871794872</v>
      </c>
      <c r="F14" s="32">
        <f>Summary!F83</f>
        <v>4.5733333333333333</v>
      </c>
      <c r="G14" s="32">
        <f>Summary!G83</f>
        <v>5</v>
      </c>
      <c r="H14" s="32">
        <f>Summary!H83</f>
        <v>5</v>
      </c>
      <c r="I14" s="32">
        <f>Summary!I83</f>
        <v>5</v>
      </c>
      <c r="J14" t="s">
        <v>154</v>
      </c>
    </row>
    <row r="15" spans="1:10" x14ac:dyDescent="0.3">
      <c r="A15" t="s">
        <v>150</v>
      </c>
      <c r="B15" s="32">
        <f>Summary!B84</f>
        <v>3</v>
      </c>
      <c r="C15" s="32">
        <f>Summary!C84</f>
        <v>5</v>
      </c>
      <c r="D15" s="32">
        <f>Summary!D84</f>
        <v>5</v>
      </c>
      <c r="E15" s="32">
        <f>Summary!E84</f>
        <v>4.6923076923076925</v>
      </c>
      <c r="F15" s="32">
        <f>Summary!F84</f>
        <v>4.8444444444444441</v>
      </c>
      <c r="G15" s="32">
        <f>Summary!G84</f>
        <v>4.666666666666667</v>
      </c>
      <c r="H15" s="32">
        <f>Summary!H84</f>
        <v>5</v>
      </c>
      <c r="I15" s="32">
        <f>Summary!I84</f>
        <v>5</v>
      </c>
      <c r="J15" t="s">
        <v>154</v>
      </c>
    </row>
    <row r="16" spans="1:10" x14ac:dyDescent="0.3">
      <c r="A16" t="s">
        <v>91</v>
      </c>
      <c r="B16" s="32">
        <f>Summary!B84</f>
        <v>3</v>
      </c>
      <c r="C16" s="32">
        <f>Summary!C84</f>
        <v>5</v>
      </c>
      <c r="D16" s="32">
        <f>Summary!D84</f>
        <v>5</v>
      </c>
      <c r="E16" s="32">
        <f>Summary!E84</f>
        <v>4.6923076923076925</v>
      </c>
      <c r="F16" s="32">
        <f>Summary!F84</f>
        <v>4.8444444444444441</v>
      </c>
      <c r="G16" s="32">
        <f>Summary!G84</f>
        <v>4.666666666666667</v>
      </c>
      <c r="H16" s="32">
        <f>Summary!H84</f>
        <v>5</v>
      </c>
      <c r="I16" s="32">
        <f>Summary!I84</f>
        <v>5</v>
      </c>
      <c r="J16" t="s">
        <v>154</v>
      </c>
    </row>
    <row r="17" spans="1:10" x14ac:dyDescent="0.3">
      <c r="A17" t="s">
        <v>151</v>
      </c>
      <c r="B17" s="32">
        <f>Summary!B85</f>
        <v>3</v>
      </c>
      <c r="C17" s="32">
        <f>Summary!C85</f>
        <v>5</v>
      </c>
      <c r="D17" s="32">
        <f>Summary!D85</f>
        <v>4.3333333333333339</v>
      </c>
      <c r="E17" s="32">
        <f>Summary!E85</f>
        <v>4.4871794871794872</v>
      </c>
      <c r="F17" s="32">
        <f>Summary!F85</f>
        <v>4.5844444444444443</v>
      </c>
      <c r="G17" s="32">
        <f>Summary!G85</f>
        <v>5</v>
      </c>
      <c r="H17" s="32">
        <f>Summary!H85</f>
        <v>5</v>
      </c>
      <c r="I17" s="32">
        <f>Summary!I85</f>
        <v>1</v>
      </c>
      <c r="J17" t="s">
        <v>154</v>
      </c>
    </row>
    <row r="18" spans="1:10" x14ac:dyDescent="0.3">
      <c r="A18" t="s">
        <v>89</v>
      </c>
      <c r="B18" s="32">
        <f>Summary!B86</f>
        <v>1</v>
      </c>
      <c r="C18" s="32">
        <f>Summary!C86</f>
        <v>0</v>
      </c>
      <c r="D18" s="32">
        <f>Summary!D86</f>
        <v>5</v>
      </c>
      <c r="E18" s="32">
        <f>Summary!E86</f>
        <v>4.6923076923076925</v>
      </c>
      <c r="F18" s="32">
        <f>Summary!F86</f>
        <v>4.528888888888889</v>
      </c>
      <c r="G18" s="32">
        <f>Summary!G86</f>
        <v>1.6666666666666665</v>
      </c>
      <c r="H18" s="32">
        <f>Summary!H86</f>
        <v>5</v>
      </c>
      <c r="I18" s="32">
        <f>Summary!I86</f>
        <v>5</v>
      </c>
      <c r="J18" t="s">
        <v>154</v>
      </c>
    </row>
    <row r="19" spans="1:10" x14ac:dyDescent="0.3">
      <c r="A19" t="s">
        <v>152</v>
      </c>
      <c r="B19" s="32">
        <f>Summary!B87</f>
        <v>2.333333333333333</v>
      </c>
      <c r="C19" s="32">
        <f>Summary!C87</f>
        <v>5</v>
      </c>
      <c r="D19" s="32">
        <f>Summary!D87</f>
        <v>3</v>
      </c>
      <c r="E19" s="32">
        <f>Summary!E87</f>
        <v>4.2820512820512819</v>
      </c>
      <c r="F19" s="32">
        <f>Summary!F87</f>
        <v>3.108888888888889</v>
      </c>
      <c r="G19" s="32">
        <f>Summary!G87</f>
        <v>5</v>
      </c>
      <c r="H19" s="32">
        <f>Summary!H87</f>
        <v>5</v>
      </c>
      <c r="I19" s="32">
        <f>Summary!I87</f>
        <v>5</v>
      </c>
      <c r="J19" t="s">
        <v>154</v>
      </c>
    </row>
    <row r="20" spans="1:10" x14ac:dyDescent="0.3">
      <c r="A20" t="s">
        <v>87</v>
      </c>
      <c r="B20" s="32">
        <f>Summary!B88</f>
        <v>1</v>
      </c>
      <c r="C20" s="32">
        <f>Summary!C88</f>
        <v>1.9292929292929288</v>
      </c>
      <c r="D20" s="32">
        <f>Summary!D88</f>
        <v>5</v>
      </c>
      <c r="E20" s="32">
        <f>Summary!E88</f>
        <v>4.8974358974358978</v>
      </c>
      <c r="F20" s="32">
        <f>Summary!F88</f>
        <v>4.6288888888888886</v>
      </c>
      <c r="G20" s="32">
        <f>Summary!G88</f>
        <v>5</v>
      </c>
      <c r="H20" s="32">
        <f>Summary!H88</f>
        <v>5</v>
      </c>
      <c r="I20" s="32">
        <f>Summary!I88</f>
        <v>5</v>
      </c>
      <c r="J20" t="s">
        <v>154</v>
      </c>
    </row>
    <row r="21" spans="1:10" x14ac:dyDescent="0.3">
      <c r="A21" t="s">
        <v>153</v>
      </c>
      <c r="B21" s="32">
        <f>Summary!B89</f>
        <v>3</v>
      </c>
      <c r="C21" s="32">
        <f>Summary!C89</f>
        <v>5</v>
      </c>
      <c r="D21" s="32">
        <f>Summary!D89</f>
        <v>4.3333333333333339</v>
      </c>
      <c r="E21" s="32">
        <f>Summary!E89</f>
        <v>4.2820512820512819</v>
      </c>
      <c r="F21" s="32">
        <f>Summary!F89</f>
        <v>4.275555555555556</v>
      </c>
      <c r="G21" s="32">
        <f>Summary!G89</f>
        <v>4.833333333333333</v>
      </c>
      <c r="H21" s="32">
        <f>Summary!H89</f>
        <v>5</v>
      </c>
      <c r="I21" s="32">
        <f>Summary!I89</f>
        <v>5</v>
      </c>
      <c r="J21" t="s">
        <v>154</v>
      </c>
    </row>
    <row r="22" spans="1:10" x14ac:dyDescent="0.3">
      <c r="A22" t="s">
        <v>77</v>
      </c>
      <c r="B22" s="32">
        <f>Summary!B92</f>
        <v>3</v>
      </c>
      <c r="C22" s="32">
        <f>Summary!C92</f>
        <v>5</v>
      </c>
      <c r="D22" s="32">
        <f>Summary!D92</f>
        <v>4.3333333333333339</v>
      </c>
      <c r="E22" s="32">
        <f>Summary!E92</f>
        <v>4.2820512820512819</v>
      </c>
      <c r="F22" s="32">
        <f>Summary!F92</f>
        <v>4.097777777777778</v>
      </c>
      <c r="G22" s="32">
        <f>Summary!G92</f>
        <v>5</v>
      </c>
      <c r="H22" s="32">
        <f>Summary!H92</f>
        <v>3.666666666666667</v>
      </c>
      <c r="I22" s="32">
        <f>Summary!I92</f>
        <v>5</v>
      </c>
      <c r="J22" t="s">
        <v>155</v>
      </c>
    </row>
    <row r="23" spans="1:10" x14ac:dyDescent="0.3">
      <c r="A23" s="13" t="s">
        <v>79</v>
      </c>
      <c r="B23" s="32">
        <f>Summary!B93</f>
        <v>2.1111111111111107</v>
      </c>
      <c r="C23" s="32">
        <f>Summary!C93</f>
        <v>5</v>
      </c>
      <c r="D23" s="32">
        <f>Summary!D93</f>
        <v>2.333333333333333</v>
      </c>
      <c r="E23" s="32">
        <f>Summary!E93</f>
        <v>4.1794871794871797</v>
      </c>
      <c r="F23" s="32">
        <f>Summary!F93</f>
        <v>3.6311111111111112</v>
      </c>
      <c r="G23" s="32">
        <f>Summary!G93</f>
        <v>5</v>
      </c>
      <c r="H23" s="32">
        <f>Summary!H93</f>
        <v>5</v>
      </c>
      <c r="I23" s="32">
        <f>Summary!I93</f>
        <v>5</v>
      </c>
      <c r="J23" t="s">
        <v>155</v>
      </c>
    </row>
    <row r="24" spans="1:10" x14ac:dyDescent="0.3">
      <c r="A24" t="s">
        <v>81</v>
      </c>
      <c r="B24" s="32">
        <f>Summary!B94</f>
        <v>3</v>
      </c>
      <c r="C24" s="32">
        <f>Summary!C94</f>
        <v>5</v>
      </c>
      <c r="D24" s="32">
        <f>Summary!D94</f>
        <v>4.3333333333333339</v>
      </c>
      <c r="E24" s="32">
        <f>Summary!E94</f>
        <v>4.2820512820512819</v>
      </c>
      <c r="F24" s="32">
        <f>Summary!F94</f>
        <v>4.1777777777777771</v>
      </c>
      <c r="G24" s="32">
        <f>Summary!G94</f>
        <v>5</v>
      </c>
      <c r="H24" s="32">
        <f>Summary!H94</f>
        <v>5</v>
      </c>
      <c r="I24" s="32">
        <f>Summary!I94</f>
        <v>5</v>
      </c>
      <c r="J24" t="s">
        <v>155</v>
      </c>
    </row>
    <row r="25" spans="1:10" x14ac:dyDescent="0.3">
      <c r="A25" t="s">
        <v>150</v>
      </c>
      <c r="B25" s="32">
        <f>Summary!B95</f>
        <v>3</v>
      </c>
      <c r="C25" s="32">
        <f>Summary!C95</f>
        <v>5</v>
      </c>
      <c r="D25" s="32">
        <f>Summary!D95</f>
        <v>5</v>
      </c>
      <c r="E25" s="32">
        <f>Summary!E95</f>
        <v>4.4871794871794872</v>
      </c>
      <c r="F25" s="32">
        <f>Summary!F95</f>
        <v>4.66</v>
      </c>
      <c r="G25" s="32">
        <f>Summary!G95</f>
        <v>4.666666666666667</v>
      </c>
      <c r="H25" s="32">
        <f>Summary!H95</f>
        <v>5</v>
      </c>
      <c r="I25" s="32">
        <f>Summary!I95</f>
        <v>5</v>
      </c>
      <c r="J25" t="s">
        <v>155</v>
      </c>
    </row>
    <row r="26" spans="1:10" x14ac:dyDescent="0.3">
      <c r="A26" t="s">
        <v>91</v>
      </c>
      <c r="B26" s="32">
        <f>Summary!B95</f>
        <v>3</v>
      </c>
      <c r="C26" s="32">
        <f>Summary!C95</f>
        <v>5</v>
      </c>
      <c r="D26" s="32">
        <f>Summary!D95</f>
        <v>5</v>
      </c>
      <c r="E26" s="32">
        <f>Summary!E95</f>
        <v>4.4871794871794872</v>
      </c>
      <c r="F26" s="32">
        <f>Summary!F95</f>
        <v>4.66</v>
      </c>
      <c r="G26" s="32">
        <f>Summary!G95</f>
        <v>4.666666666666667</v>
      </c>
      <c r="H26" s="32">
        <f>Summary!H95</f>
        <v>5</v>
      </c>
      <c r="I26" s="32">
        <f>Summary!I95</f>
        <v>5</v>
      </c>
      <c r="J26" t="s">
        <v>156</v>
      </c>
    </row>
    <row r="27" spans="1:10" x14ac:dyDescent="0.3">
      <c r="A27" t="s">
        <v>151</v>
      </c>
      <c r="B27" s="32">
        <f>Summary!B96</f>
        <v>3</v>
      </c>
      <c r="C27" s="32">
        <f>Summary!C96</f>
        <v>5</v>
      </c>
      <c r="D27" s="32">
        <f>Summary!D96</f>
        <v>4.3333333333333339</v>
      </c>
      <c r="E27" s="32">
        <f>Summary!E96</f>
        <v>4.2820512820512819</v>
      </c>
      <c r="F27" s="32">
        <f>Summary!F96</f>
        <v>4.18</v>
      </c>
      <c r="G27" s="32">
        <f>Summary!G96</f>
        <v>5</v>
      </c>
      <c r="H27" s="32">
        <f>Summary!H96</f>
        <v>5</v>
      </c>
      <c r="I27" s="32">
        <f>Summary!I96</f>
        <v>1</v>
      </c>
      <c r="J27" t="s">
        <v>155</v>
      </c>
    </row>
    <row r="28" spans="1:10" x14ac:dyDescent="0.3">
      <c r="A28" t="s">
        <v>89</v>
      </c>
      <c r="B28" s="32">
        <f>Summary!B97</f>
        <v>1</v>
      </c>
      <c r="C28" s="32">
        <f>Summary!C97</f>
        <v>0</v>
      </c>
      <c r="D28" s="32">
        <f>Summary!D97</f>
        <v>5</v>
      </c>
      <c r="E28" s="32">
        <f>Summary!E97</f>
        <v>4.6923076923076925</v>
      </c>
      <c r="F28" s="32">
        <f>Summary!F97</f>
        <v>4.4155555555555557</v>
      </c>
      <c r="G28" s="32">
        <f>Summary!G97</f>
        <v>1.6666666666666665</v>
      </c>
      <c r="H28" s="32">
        <f>Summary!H97</f>
        <v>5</v>
      </c>
      <c r="I28" s="32">
        <f>Summary!I97</f>
        <v>5</v>
      </c>
      <c r="J28" t="s">
        <v>155</v>
      </c>
    </row>
    <row r="29" spans="1:10" x14ac:dyDescent="0.3">
      <c r="A29" t="s">
        <v>152</v>
      </c>
      <c r="B29" s="32">
        <f>Summary!B98</f>
        <v>2.333333333333333</v>
      </c>
      <c r="C29" s="32">
        <f>Summary!C98</f>
        <v>5</v>
      </c>
      <c r="D29" s="32">
        <f>Summary!D98</f>
        <v>3.6666666666666665</v>
      </c>
      <c r="E29" s="32">
        <f>Summary!E98</f>
        <v>4.2820512820512819</v>
      </c>
      <c r="F29" s="32">
        <f>Summary!F98</f>
        <v>3.0177777777777774</v>
      </c>
      <c r="G29" s="32">
        <f>Summary!G98</f>
        <v>5</v>
      </c>
      <c r="H29" s="32">
        <f>Summary!H98</f>
        <v>5</v>
      </c>
      <c r="I29" s="32">
        <f>Summary!I98</f>
        <v>5</v>
      </c>
      <c r="J29" t="s">
        <v>155</v>
      </c>
    </row>
    <row r="30" spans="1:10" x14ac:dyDescent="0.3">
      <c r="A30" t="s">
        <v>87</v>
      </c>
      <c r="B30" s="32">
        <f>Summary!B99</f>
        <v>1</v>
      </c>
      <c r="C30" s="32">
        <f>Summary!C99</f>
        <v>2.0196078431372548</v>
      </c>
      <c r="D30" s="32">
        <f>Summary!D99</f>
        <v>5</v>
      </c>
      <c r="E30" s="32">
        <f>Summary!E99</f>
        <v>4.8974358974358978</v>
      </c>
      <c r="F30" s="32">
        <f>Summary!F99</f>
        <v>4.6288888888888886</v>
      </c>
      <c r="G30" s="32">
        <f>Summary!G99</f>
        <v>5</v>
      </c>
      <c r="H30" s="32">
        <f>Summary!H99</f>
        <v>5</v>
      </c>
      <c r="I30" s="32">
        <f>Summary!I99</f>
        <v>5</v>
      </c>
      <c r="J30" t="s">
        <v>155</v>
      </c>
    </row>
    <row r="31" spans="1:10" x14ac:dyDescent="0.3">
      <c r="A31" t="s">
        <v>153</v>
      </c>
      <c r="B31" s="32">
        <f>Summary!B100</f>
        <v>3</v>
      </c>
      <c r="C31" s="32">
        <f>Summary!C100</f>
        <v>5</v>
      </c>
      <c r="D31" s="32">
        <f>Summary!D100</f>
        <v>4.3333333333333339</v>
      </c>
      <c r="E31" s="32">
        <f>Summary!E100</f>
        <v>4.2820512820512819</v>
      </c>
      <c r="F31" s="32">
        <f>Summary!F100</f>
        <v>4.1111111111111107</v>
      </c>
      <c r="G31" s="32">
        <f>Summary!G100</f>
        <v>4.833333333333333</v>
      </c>
      <c r="H31" s="32">
        <f>Summary!H100</f>
        <v>5</v>
      </c>
      <c r="I31" s="32">
        <f>Summary!I100</f>
        <v>5</v>
      </c>
      <c r="J31" t="s">
        <v>155</v>
      </c>
    </row>
    <row r="32" spans="1:10" x14ac:dyDescent="0.3">
      <c r="A32" t="s">
        <v>77</v>
      </c>
      <c r="B32" s="32">
        <f>Summary!B103</f>
        <v>3</v>
      </c>
      <c r="C32" s="32">
        <f>Summary!C103</f>
        <v>5</v>
      </c>
      <c r="D32" s="32">
        <f>Summary!D103</f>
        <v>3</v>
      </c>
      <c r="E32" s="32">
        <f>Summary!E103</f>
        <v>4.2820512820512819</v>
      </c>
      <c r="F32" s="32">
        <f>Summary!F103</f>
        <v>3.9444444444444446</v>
      </c>
      <c r="G32" s="32">
        <f>Summary!G103</f>
        <v>5</v>
      </c>
      <c r="H32" s="32">
        <f>Summary!H103</f>
        <v>3.666666666666667</v>
      </c>
      <c r="I32" s="32">
        <f>Summary!I103</f>
        <v>5</v>
      </c>
      <c r="J32" t="s">
        <v>157</v>
      </c>
    </row>
    <row r="33" spans="1:10" x14ac:dyDescent="0.3">
      <c r="A33" s="13" t="s">
        <v>79</v>
      </c>
      <c r="B33" s="32">
        <f>Summary!B104</f>
        <v>2.1111111111111107</v>
      </c>
      <c r="C33" s="32">
        <f>Summary!C104</f>
        <v>4.92</v>
      </c>
      <c r="D33" s="32">
        <f>Summary!D104</f>
        <v>2.333333333333333</v>
      </c>
      <c r="E33" s="32">
        <f>Summary!E104</f>
        <v>3.9743589743589745</v>
      </c>
      <c r="F33" s="32">
        <f>Summary!F104</f>
        <v>3.3600000000000003</v>
      </c>
      <c r="G33" s="32">
        <f>Summary!G104</f>
        <v>5</v>
      </c>
      <c r="H33" s="32">
        <f>Summary!H104</f>
        <v>5</v>
      </c>
      <c r="I33" s="32">
        <f>Summary!I104</f>
        <v>5</v>
      </c>
      <c r="J33" t="s">
        <v>157</v>
      </c>
    </row>
    <row r="34" spans="1:10" x14ac:dyDescent="0.3">
      <c r="A34" t="s">
        <v>81</v>
      </c>
      <c r="B34" s="32">
        <f>Summary!B105</f>
        <v>3</v>
      </c>
      <c r="C34" s="32">
        <f>Summary!C105</f>
        <v>4.9238095238095241</v>
      </c>
      <c r="D34" s="32">
        <f>Summary!D105</f>
        <v>2.333333333333333</v>
      </c>
      <c r="E34" s="32">
        <f>Summary!E105</f>
        <v>4.2820512820512819</v>
      </c>
      <c r="F34" s="32">
        <f>Summary!F105</f>
        <v>3.7555555555555555</v>
      </c>
      <c r="G34" s="32">
        <f>Summary!G105</f>
        <v>5</v>
      </c>
      <c r="H34" s="32">
        <f>Summary!H105</f>
        <v>5</v>
      </c>
      <c r="I34" s="32">
        <f>Summary!I105</f>
        <v>5</v>
      </c>
      <c r="J34" t="s">
        <v>157</v>
      </c>
    </row>
    <row r="35" spans="1:10" x14ac:dyDescent="0.3">
      <c r="A35" t="s">
        <v>150</v>
      </c>
      <c r="B35" s="32">
        <f>Summary!B106</f>
        <v>3</v>
      </c>
      <c r="C35" s="32">
        <f>Summary!C106</f>
        <v>5</v>
      </c>
      <c r="D35" s="32">
        <f>Summary!D106</f>
        <v>3.6666666666666665</v>
      </c>
      <c r="E35" s="32">
        <f>Summary!E106</f>
        <v>4.4871794871794872</v>
      </c>
      <c r="F35" s="32">
        <f>Summary!F106</f>
        <v>4.2377777777777776</v>
      </c>
      <c r="G35" s="32">
        <f>Summary!G106</f>
        <v>4.666666666666667</v>
      </c>
      <c r="H35" s="32">
        <f>Summary!H106</f>
        <v>5</v>
      </c>
      <c r="I35" s="32">
        <f>Summary!I106</f>
        <v>5</v>
      </c>
      <c r="J35" t="s">
        <v>157</v>
      </c>
    </row>
    <row r="36" spans="1:10" x14ac:dyDescent="0.3">
      <c r="A36" t="s">
        <v>91</v>
      </c>
      <c r="B36" s="32">
        <f>Summary!B106</f>
        <v>3</v>
      </c>
      <c r="C36" s="32">
        <f>Summary!C106</f>
        <v>5</v>
      </c>
      <c r="D36" s="32">
        <f>Summary!D106</f>
        <v>3.6666666666666665</v>
      </c>
      <c r="E36" s="32">
        <f>Summary!E106</f>
        <v>4.4871794871794872</v>
      </c>
      <c r="F36" s="32">
        <f>Summary!F106</f>
        <v>4.2377777777777776</v>
      </c>
      <c r="G36" s="32">
        <f>Summary!G106</f>
        <v>4.666666666666667</v>
      </c>
      <c r="H36" s="32">
        <f>Summary!H106</f>
        <v>5</v>
      </c>
      <c r="I36" s="32">
        <f>Summary!I106</f>
        <v>5</v>
      </c>
      <c r="J36" t="s">
        <v>157</v>
      </c>
    </row>
    <row r="37" spans="1:10" x14ac:dyDescent="0.3">
      <c r="A37" t="s">
        <v>151</v>
      </c>
      <c r="B37" s="32">
        <f>Summary!B107</f>
        <v>3</v>
      </c>
      <c r="C37" s="32">
        <f>Summary!C107</f>
        <v>5</v>
      </c>
      <c r="D37" s="32">
        <f>Summary!D107</f>
        <v>2.333333333333333</v>
      </c>
      <c r="E37" s="32">
        <f>Summary!E107</f>
        <v>4.2820512820512819</v>
      </c>
      <c r="F37" s="32">
        <f>Summary!F107</f>
        <v>3.7555555555555555</v>
      </c>
      <c r="G37" s="32">
        <f>Summary!G107</f>
        <v>5</v>
      </c>
      <c r="H37" s="32">
        <f>Summary!H107</f>
        <v>5</v>
      </c>
      <c r="I37" s="32">
        <f>Summary!I107</f>
        <v>1</v>
      </c>
      <c r="J37" t="s">
        <v>157</v>
      </c>
    </row>
    <row r="38" spans="1:10" x14ac:dyDescent="0.3">
      <c r="A38" t="s">
        <v>89</v>
      </c>
      <c r="B38" s="32">
        <f>Summary!B108</f>
        <v>1</v>
      </c>
      <c r="C38" s="32">
        <f>Summary!C108</f>
        <v>0</v>
      </c>
      <c r="D38" s="32">
        <f>Summary!D108</f>
        <v>4.3333333333333339</v>
      </c>
      <c r="E38" s="32">
        <f>Summary!E108</f>
        <v>4.6923076923076925</v>
      </c>
      <c r="F38" s="32">
        <f>Summary!F108</f>
        <v>4.3377777777777773</v>
      </c>
      <c r="G38" s="32">
        <f>Summary!G108</f>
        <v>1.6666666666666665</v>
      </c>
      <c r="H38" s="32">
        <f>Summary!H108</f>
        <v>5</v>
      </c>
      <c r="I38" s="32">
        <f>Summary!I108</f>
        <v>5</v>
      </c>
      <c r="J38" t="s">
        <v>157</v>
      </c>
    </row>
    <row r="39" spans="1:10" x14ac:dyDescent="0.3">
      <c r="A39" t="s">
        <v>152</v>
      </c>
      <c r="B39" s="32">
        <f>Summary!B109</f>
        <v>2.333333333333333</v>
      </c>
      <c r="C39" s="32">
        <f>Summary!C109</f>
        <v>5</v>
      </c>
      <c r="D39" s="32">
        <f>Summary!D109</f>
        <v>2.333333333333333</v>
      </c>
      <c r="E39" s="32">
        <f>Summary!E109</f>
        <v>4.2820512820512819</v>
      </c>
      <c r="F39" s="32">
        <f>Summary!F109</f>
        <v>2.753333333333333</v>
      </c>
      <c r="G39" s="32">
        <f>Summary!G109</f>
        <v>5</v>
      </c>
      <c r="H39" s="32">
        <f>Summary!H109</f>
        <v>5</v>
      </c>
      <c r="I39" s="32">
        <f>Summary!I109</f>
        <v>5</v>
      </c>
      <c r="J39" t="s">
        <v>157</v>
      </c>
    </row>
    <row r="40" spans="1:10" x14ac:dyDescent="0.3">
      <c r="A40" t="s">
        <v>87</v>
      </c>
      <c r="B40" s="32">
        <f>Summary!B110</f>
        <v>1</v>
      </c>
      <c r="C40" s="32">
        <f>Summary!C110</f>
        <v>2.1047619047619044</v>
      </c>
      <c r="D40" s="32">
        <f>Summary!D110</f>
        <v>5</v>
      </c>
      <c r="E40" s="32">
        <f>Summary!E110</f>
        <v>4.8974358974358978</v>
      </c>
      <c r="F40" s="32">
        <f>Summary!F110</f>
        <v>4.6288888888888886</v>
      </c>
      <c r="G40" s="32">
        <f>Summary!G110</f>
        <v>5</v>
      </c>
      <c r="H40" s="32">
        <f>Summary!H110</f>
        <v>5</v>
      </c>
      <c r="I40" s="32">
        <f>Summary!I110</f>
        <v>5</v>
      </c>
      <c r="J40" t="s">
        <v>157</v>
      </c>
    </row>
    <row r="41" spans="1:10" x14ac:dyDescent="0.3">
      <c r="A41" t="s">
        <v>153</v>
      </c>
      <c r="B41" s="32">
        <f>Summary!B111</f>
        <v>3</v>
      </c>
      <c r="C41" s="32">
        <f>Summary!C111</f>
        <v>5</v>
      </c>
      <c r="D41" s="32">
        <f>Summary!D111</f>
        <v>2.333333333333333</v>
      </c>
      <c r="E41" s="32">
        <f>Summary!E111</f>
        <v>4.1794871794871797</v>
      </c>
      <c r="F41" s="32">
        <f>Summary!F111</f>
        <v>3.695555555555555</v>
      </c>
      <c r="G41" s="32">
        <f>Summary!G111</f>
        <v>4.833333333333333</v>
      </c>
      <c r="H41" s="32">
        <f>Summary!H111</f>
        <v>5</v>
      </c>
      <c r="I41" s="32">
        <f>Summary!I111</f>
        <v>5</v>
      </c>
      <c r="J41" t="s">
        <v>157</v>
      </c>
    </row>
    <row r="42" spans="1:10" x14ac:dyDescent="0.3">
      <c r="A42" t="s">
        <v>77</v>
      </c>
      <c r="B42" s="32">
        <f>Summary!B114</f>
        <v>3</v>
      </c>
      <c r="C42" s="32">
        <f>Summary!C114</f>
        <v>4.9740740740740739</v>
      </c>
      <c r="D42" s="32">
        <f>Summary!D114</f>
        <v>3</v>
      </c>
      <c r="E42" s="32">
        <f>Summary!E114</f>
        <v>4.1794871794871797</v>
      </c>
      <c r="F42" s="32">
        <f>Summary!F114</f>
        <v>3.6777777777777776</v>
      </c>
      <c r="G42" s="32">
        <f>Summary!G114</f>
        <v>5</v>
      </c>
      <c r="H42" s="32">
        <f>Summary!H114</f>
        <v>3.666666666666667</v>
      </c>
      <c r="I42" s="32">
        <f>Summary!I114</f>
        <v>5</v>
      </c>
      <c r="J42" t="s">
        <v>158</v>
      </c>
    </row>
    <row r="43" spans="1:10" x14ac:dyDescent="0.3">
      <c r="A43" s="13" t="s">
        <v>79</v>
      </c>
      <c r="B43" s="32">
        <f>Summary!B115</f>
        <v>2.1111111111111107</v>
      </c>
      <c r="C43" s="32">
        <f>Summary!C115</f>
        <v>3.4481481481481482</v>
      </c>
      <c r="D43" s="32">
        <f>Summary!D115</f>
        <v>4.3333333333333339</v>
      </c>
      <c r="E43" s="32">
        <f>Summary!E115</f>
        <v>4.8974358974358978</v>
      </c>
      <c r="F43" s="32">
        <f>Summary!F115</f>
        <v>4.166666666666667</v>
      </c>
      <c r="G43" s="32">
        <f>Summary!G115</f>
        <v>5</v>
      </c>
      <c r="H43" s="32">
        <f>Summary!H115</f>
        <v>5</v>
      </c>
      <c r="I43" s="32">
        <f>Summary!I115</f>
        <v>5</v>
      </c>
      <c r="J43" t="s">
        <v>158</v>
      </c>
    </row>
    <row r="44" spans="1:10" x14ac:dyDescent="0.3">
      <c r="A44" t="s">
        <v>81</v>
      </c>
      <c r="B44" s="32">
        <f>Summary!B116</f>
        <v>3</v>
      </c>
      <c r="C44" s="32">
        <f>Summary!C116</f>
        <v>4.9740740740740739</v>
      </c>
      <c r="D44" s="32">
        <f>Summary!D116</f>
        <v>2.333333333333333</v>
      </c>
      <c r="E44" s="32">
        <f>Summary!E116</f>
        <v>4.1794871794871797</v>
      </c>
      <c r="F44" s="32">
        <f>Summary!F116</f>
        <v>3.4888888888888889</v>
      </c>
      <c r="G44" s="32">
        <f>Summary!G116</f>
        <v>5</v>
      </c>
      <c r="H44" s="32">
        <f>Summary!H116</f>
        <v>5</v>
      </c>
      <c r="I44" s="32">
        <f>Summary!I116</f>
        <v>5</v>
      </c>
      <c r="J44" t="s">
        <v>158</v>
      </c>
    </row>
    <row r="45" spans="1:10" x14ac:dyDescent="0.3">
      <c r="A45" t="s">
        <v>150</v>
      </c>
      <c r="B45" s="32">
        <f>Summary!B117</f>
        <v>3</v>
      </c>
      <c r="C45" s="32">
        <f>Summary!C117</f>
        <v>5</v>
      </c>
      <c r="D45" s="32">
        <f>Summary!D117</f>
        <v>3.6666666666666665</v>
      </c>
      <c r="E45" s="32">
        <f>Summary!E117</f>
        <v>4.2820512820512819</v>
      </c>
      <c r="F45" s="32">
        <f>Summary!F117</f>
        <v>3.8688888888888888</v>
      </c>
      <c r="G45" s="32">
        <f>Summary!G117</f>
        <v>4.666666666666667</v>
      </c>
      <c r="H45" s="32">
        <f>Summary!H117</f>
        <v>5</v>
      </c>
      <c r="I45" s="32">
        <f>Summary!I117</f>
        <v>5</v>
      </c>
      <c r="J45" t="s">
        <v>158</v>
      </c>
    </row>
    <row r="46" spans="1:10" x14ac:dyDescent="0.3">
      <c r="A46" t="s">
        <v>91</v>
      </c>
      <c r="B46" s="32">
        <f>Summary!B117</f>
        <v>3</v>
      </c>
      <c r="C46" s="32">
        <f>Summary!C117</f>
        <v>5</v>
      </c>
      <c r="D46" s="32">
        <f>Summary!D117</f>
        <v>3.6666666666666665</v>
      </c>
      <c r="E46" s="32">
        <f>Summary!E117</f>
        <v>4.2820512820512819</v>
      </c>
      <c r="F46" s="32">
        <f>Summary!F117</f>
        <v>3.8688888888888888</v>
      </c>
      <c r="G46" s="32">
        <f>Summary!G117</f>
        <v>4.666666666666667</v>
      </c>
      <c r="H46" s="32">
        <f>Summary!H117</f>
        <v>5</v>
      </c>
      <c r="I46" s="32">
        <f>Summary!I117</f>
        <v>5</v>
      </c>
      <c r="J46" t="s">
        <v>158</v>
      </c>
    </row>
    <row r="47" spans="1:10" x14ac:dyDescent="0.3">
      <c r="A47" t="s">
        <v>151</v>
      </c>
      <c r="B47" s="32">
        <f>Summary!B118</f>
        <v>3</v>
      </c>
      <c r="C47" s="32">
        <f>Summary!C118</f>
        <v>4.9740740740740739</v>
      </c>
      <c r="D47" s="32">
        <f>Summary!D118</f>
        <v>2.333333333333333</v>
      </c>
      <c r="E47" s="32">
        <f>Summary!E118</f>
        <v>4.1794871794871797</v>
      </c>
      <c r="F47" s="32">
        <f>Summary!F118</f>
        <v>3.4888888888888889</v>
      </c>
      <c r="G47" s="32">
        <f>Summary!G118</f>
        <v>5</v>
      </c>
      <c r="H47" s="32">
        <f>Summary!H118</f>
        <v>5</v>
      </c>
      <c r="I47" s="32">
        <f>Summary!I118</f>
        <v>1</v>
      </c>
      <c r="J47" t="s">
        <v>158</v>
      </c>
    </row>
    <row r="48" spans="1:10" x14ac:dyDescent="0.3">
      <c r="A48" t="s">
        <v>89</v>
      </c>
      <c r="B48" s="32">
        <f>Summary!B119</f>
        <v>1</v>
      </c>
      <c r="C48" s="32">
        <f>Summary!C119</f>
        <v>0</v>
      </c>
      <c r="D48" s="32">
        <f>Summary!D119</f>
        <v>4.3333333333333339</v>
      </c>
      <c r="E48" s="32">
        <f>Summary!E119</f>
        <v>4.6923076923076925</v>
      </c>
      <c r="F48" s="32">
        <f>Summary!F119</f>
        <v>4.1866666666666665</v>
      </c>
      <c r="G48" s="32">
        <f>Summary!G119</f>
        <v>1.6666666666666665</v>
      </c>
      <c r="H48" s="32">
        <f>Summary!H119</f>
        <v>5</v>
      </c>
      <c r="I48" s="32">
        <f>Summary!I119</f>
        <v>5</v>
      </c>
      <c r="J48" t="s">
        <v>158</v>
      </c>
    </row>
    <row r="49" spans="1:10" x14ac:dyDescent="0.3">
      <c r="A49" t="s">
        <v>152</v>
      </c>
      <c r="B49" s="32">
        <f>Summary!B120</f>
        <v>2.333333333333333</v>
      </c>
      <c r="C49" s="32">
        <f>Summary!C120</f>
        <v>4.9740740740740739</v>
      </c>
      <c r="D49" s="32">
        <f>Summary!D120</f>
        <v>2.333333333333333</v>
      </c>
      <c r="E49" s="32">
        <f>Summary!E120</f>
        <v>4.1794871794871797</v>
      </c>
      <c r="F49" s="32">
        <f>Summary!F120</f>
        <v>2.5844444444444443</v>
      </c>
      <c r="G49" s="32">
        <f>Summary!G120</f>
        <v>5</v>
      </c>
      <c r="H49" s="32">
        <f>Summary!H120</f>
        <v>5</v>
      </c>
      <c r="I49" s="32">
        <f>Summary!I120</f>
        <v>5</v>
      </c>
      <c r="J49" t="s">
        <v>158</v>
      </c>
    </row>
    <row r="50" spans="1:10" x14ac:dyDescent="0.3">
      <c r="A50" t="s">
        <v>87</v>
      </c>
      <c r="B50" s="32">
        <f>Summary!B121</f>
        <v>1</v>
      </c>
      <c r="C50" s="32">
        <f>Summary!C121</f>
        <v>2.1851851851851847</v>
      </c>
      <c r="D50" s="32">
        <f>Summary!D121</f>
        <v>5</v>
      </c>
      <c r="E50" s="32">
        <f>Summary!E121</f>
        <v>4.8974358974358978</v>
      </c>
      <c r="F50" s="32">
        <f>Summary!F121</f>
        <v>4.6288888888888886</v>
      </c>
      <c r="G50" s="32">
        <f>Summary!G121</f>
        <v>5</v>
      </c>
      <c r="H50" s="32">
        <f>Summary!H121</f>
        <v>5</v>
      </c>
      <c r="I50" s="32">
        <f>Summary!I121</f>
        <v>5</v>
      </c>
      <c r="J50" t="s">
        <v>158</v>
      </c>
    </row>
    <row r="51" spans="1:10" x14ac:dyDescent="0.3">
      <c r="A51" t="s">
        <v>153</v>
      </c>
      <c r="B51" s="32">
        <f>Summary!B122</f>
        <v>3</v>
      </c>
      <c r="C51" s="32">
        <f>Summary!C122</f>
        <v>4.9407407407407415</v>
      </c>
      <c r="D51" s="32">
        <f>Summary!D122</f>
        <v>2.333333333333333</v>
      </c>
      <c r="E51" s="32">
        <f>Summary!E122</f>
        <v>3.9743589743589745</v>
      </c>
      <c r="F51" s="32">
        <f>Summary!F122</f>
        <v>3.4955555555555557</v>
      </c>
      <c r="G51" s="32">
        <f>Summary!G122</f>
        <v>4.833333333333333</v>
      </c>
      <c r="H51" s="32">
        <f>Summary!H122</f>
        <v>5</v>
      </c>
      <c r="I51" s="32">
        <f>Summary!I122</f>
        <v>5</v>
      </c>
      <c r="J51" t="s">
        <v>158</v>
      </c>
    </row>
    <row r="52" spans="1:10" x14ac:dyDescent="0.3">
      <c r="A52" t="s">
        <v>77</v>
      </c>
      <c r="B52" s="32">
        <f>Summary!B125</f>
        <v>3</v>
      </c>
      <c r="C52" s="32">
        <f>Summary!C125</f>
        <v>4.8666666666666671</v>
      </c>
      <c r="D52" s="32">
        <f>Summary!D125</f>
        <v>3</v>
      </c>
      <c r="E52" s="32">
        <f>Summary!E125</f>
        <v>3.9743589743589745</v>
      </c>
      <c r="F52" s="32">
        <f>Summary!F125</f>
        <v>2.6711111111111112</v>
      </c>
      <c r="G52" s="32">
        <f>Summary!G125</f>
        <v>5</v>
      </c>
      <c r="H52" s="32">
        <f>Summary!H125</f>
        <v>3.666666666666667</v>
      </c>
      <c r="I52" s="32">
        <f>Summary!I125</f>
        <v>5</v>
      </c>
      <c r="J52" t="s">
        <v>159</v>
      </c>
    </row>
    <row r="53" spans="1:10" x14ac:dyDescent="0.3">
      <c r="A53" s="13" t="s">
        <v>79</v>
      </c>
      <c r="B53" s="32">
        <f>Summary!B126</f>
        <v>2.1111111111111107</v>
      </c>
      <c r="C53" s="32">
        <f>Summary!C126</f>
        <v>3.49009009009009</v>
      </c>
      <c r="D53" s="32">
        <f>Summary!D126</f>
        <v>4.3333333333333339</v>
      </c>
      <c r="E53" s="32">
        <f>Summary!E126</f>
        <v>4.8974358974358978</v>
      </c>
      <c r="F53" s="32">
        <f>Summary!F126</f>
        <v>4.166666666666667</v>
      </c>
      <c r="G53" s="32">
        <f>Summary!G126</f>
        <v>5</v>
      </c>
      <c r="H53" s="32">
        <f>Summary!H126</f>
        <v>5</v>
      </c>
      <c r="I53" s="32">
        <f>Summary!I126</f>
        <v>5</v>
      </c>
      <c r="J53" t="s">
        <v>159</v>
      </c>
    </row>
    <row r="54" spans="1:10" x14ac:dyDescent="0.3">
      <c r="A54" t="s">
        <v>81</v>
      </c>
      <c r="B54" s="32">
        <f>Summary!B127</f>
        <v>3</v>
      </c>
      <c r="C54" s="32">
        <f>Summary!C127</f>
        <v>4.8666666666666671</v>
      </c>
      <c r="D54" s="32">
        <f>Summary!D127</f>
        <v>1.6666666666666665</v>
      </c>
      <c r="E54" s="32">
        <f>Summary!E127</f>
        <v>3.8717948717948718</v>
      </c>
      <c r="F54" s="32">
        <f>Summary!F127</f>
        <v>2.4377777777777774</v>
      </c>
      <c r="G54" s="32">
        <f>Summary!G127</f>
        <v>5</v>
      </c>
      <c r="H54" s="32">
        <f>Summary!H127</f>
        <v>5</v>
      </c>
      <c r="I54" s="32">
        <f>Summary!I127</f>
        <v>5</v>
      </c>
      <c r="J54" t="s">
        <v>159</v>
      </c>
    </row>
    <row r="55" spans="1:10" x14ac:dyDescent="0.3">
      <c r="A55" t="s">
        <v>150</v>
      </c>
      <c r="B55" s="32">
        <f>Summary!B128</f>
        <v>3</v>
      </c>
      <c r="C55" s="32">
        <f>Summary!C128</f>
        <v>4.9351351351351349</v>
      </c>
      <c r="D55" s="32">
        <f>Summary!D128</f>
        <v>3</v>
      </c>
      <c r="E55" s="32">
        <f>Summary!E128</f>
        <v>4.1794871794871797</v>
      </c>
      <c r="F55" s="32">
        <f>Summary!F128</f>
        <v>3.7355555555555555</v>
      </c>
      <c r="G55" s="32">
        <f>Summary!G128</f>
        <v>4.666666666666667</v>
      </c>
      <c r="H55" s="32">
        <f>Summary!H128</f>
        <v>5</v>
      </c>
      <c r="I55" s="32">
        <f>Summary!I128</f>
        <v>5</v>
      </c>
      <c r="J55" t="s">
        <v>159</v>
      </c>
    </row>
    <row r="56" spans="1:10" x14ac:dyDescent="0.3">
      <c r="A56" t="s">
        <v>91</v>
      </c>
      <c r="B56" s="32">
        <f>Summary!B128</f>
        <v>3</v>
      </c>
      <c r="C56" s="32">
        <f>Summary!C128</f>
        <v>4.9351351351351349</v>
      </c>
      <c r="D56" s="32">
        <f>Summary!D128</f>
        <v>3</v>
      </c>
      <c r="E56" s="32">
        <f>Summary!E128</f>
        <v>4.1794871794871797</v>
      </c>
      <c r="F56" s="32">
        <f>Summary!F128</f>
        <v>3.7355555555555555</v>
      </c>
      <c r="G56" s="32">
        <f>Summary!G128</f>
        <v>4.666666666666667</v>
      </c>
      <c r="H56" s="32">
        <f>Summary!H128</f>
        <v>5</v>
      </c>
      <c r="I56" s="32">
        <f>Summary!I128</f>
        <v>5</v>
      </c>
      <c r="J56" t="s">
        <v>159</v>
      </c>
    </row>
    <row r="57" spans="1:10" x14ac:dyDescent="0.3">
      <c r="A57" t="s">
        <v>151</v>
      </c>
      <c r="B57" s="32">
        <f>Summary!B129</f>
        <v>3</v>
      </c>
      <c r="C57" s="32">
        <f>Summary!C129</f>
        <v>4.6828828828828826</v>
      </c>
      <c r="D57" s="32">
        <f>Summary!D129</f>
        <v>3</v>
      </c>
      <c r="E57" s="32">
        <f>Summary!E129</f>
        <v>4.8974358974358978</v>
      </c>
      <c r="F57" s="32">
        <f>Summary!F129</f>
        <v>3.0533333333333337</v>
      </c>
      <c r="G57" s="32">
        <f>Summary!G129</f>
        <v>5</v>
      </c>
      <c r="H57" s="32">
        <f>Summary!H129</f>
        <v>5</v>
      </c>
      <c r="I57" s="32">
        <f>Summary!I129</f>
        <v>1</v>
      </c>
      <c r="J57" t="s">
        <v>159</v>
      </c>
    </row>
    <row r="58" spans="1:10" x14ac:dyDescent="0.3">
      <c r="A58" t="s">
        <v>89</v>
      </c>
      <c r="B58" s="32">
        <f>Summary!B130</f>
        <v>1</v>
      </c>
      <c r="C58" s="32">
        <f>Summary!C130</f>
        <v>0</v>
      </c>
      <c r="D58" s="32">
        <f>Summary!D130</f>
        <v>4.3333333333333339</v>
      </c>
      <c r="E58" s="32">
        <f>Summary!E130</f>
        <v>4.8974358974358978</v>
      </c>
      <c r="F58" s="32">
        <f>Summary!F130</f>
        <v>3.8177777777777777</v>
      </c>
      <c r="G58" s="32">
        <f>Summary!G130</f>
        <v>1.6666666666666665</v>
      </c>
      <c r="H58" s="32">
        <f>Summary!H130</f>
        <v>5</v>
      </c>
      <c r="I58" s="32">
        <f>Summary!I130</f>
        <v>5</v>
      </c>
      <c r="J58" t="s">
        <v>159</v>
      </c>
    </row>
    <row r="59" spans="1:10" x14ac:dyDescent="0.3">
      <c r="A59" t="s">
        <v>152</v>
      </c>
      <c r="B59" s="32">
        <f>Summary!B131</f>
        <v>2.333333333333333</v>
      </c>
      <c r="C59" s="32">
        <f>Summary!C131</f>
        <v>3.781981981981982</v>
      </c>
      <c r="D59" s="32">
        <f>Summary!D131</f>
        <v>3.6666666666666665</v>
      </c>
      <c r="E59" s="32">
        <f>Summary!E131</f>
        <v>4.8974358974358978</v>
      </c>
      <c r="F59" s="32">
        <f>Summary!F131</f>
        <v>3.1222222222222222</v>
      </c>
      <c r="G59" s="32">
        <f>Summary!G131</f>
        <v>5</v>
      </c>
      <c r="H59" s="32">
        <f>Summary!H131</f>
        <v>5</v>
      </c>
      <c r="I59" s="32">
        <f>Summary!I131</f>
        <v>5</v>
      </c>
      <c r="J59" t="s">
        <v>159</v>
      </c>
    </row>
    <row r="60" spans="1:10" x14ac:dyDescent="0.3">
      <c r="A60" t="s">
        <v>87</v>
      </c>
      <c r="B60" s="32">
        <f>Summary!B132</f>
        <v>1</v>
      </c>
      <c r="C60" s="32">
        <f>Summary!C132</f>
        <v>2.2612612612612608</v>
      </c>
      <c r="D60" s="32">
        <f>Summary!D132</f>
        <v>5</v>
      </c>
      <c r="E60" s="32">
        <f>Summary!E132</f>
        <v>4.8974358974358978</v>
      </c>
      <c r="F60" s="32">
        <f>Summary!F132</f>
        <v>4.6288888888888886</v>
      </c>
      <c r="G60" s="32">
        <f>Summary!G132</f>
        <v>5</v>
      </c>
      <c r="H60" s="32">
        <f>Summary!H132</f>
        <v>5</v>
      </c>
      <c r="I60" s="32">
        <f>Summary!I132</f>
        <v>5</v>
      </c>
      <c r="J60" t="s">
        <v>159</v>
      </c>
    </row>
    <row r="61" spans="1:10" x14ac:dyDescent="0.3">
      <c r="A61" t="s">
        <v>153</v>
      </c>
      <c r="B61" s="32">
        <f>Summary!B133</f>
        <v>3</v>
      </c>
      <c r="C61" s="32">
        <f>Summary!C133</f>
        <v>4.6756756756756754</v>
      </c>
      <c r="D61" s="32">
        <f>Summary!D133</f>
        <v>3</v>
      </c>
      <c r="E61" s="32">
        <f>Summary!E133</f>
        <v>4.8974358974358978</v>
      </c>
      <c r="F61" s="32">
        <f>Summary!F133</f>
        <v>3.0466666666666669</v>
      </c>
      <c r="G61" s="32">
        <f>Summary!G133</f>
        <v>4.833333333333333</v>
      </c>
      <c r="H61" s="32">
        <f>Summary!H133</f>
        <v>5</v>
      </c>
      <c r="I61" s="32">
        <f>Summary!I133</f>
        <v>5</v>
      </c>
      <c r="J61" t="s">
        <v>159</v>
      </c>
    </row>
    <row r="62" spans="1:10" x14ac:dyDescent="0.3">
      <c r="A62" t="s">
        <v>77</v>
      </c>
      <c r="B62" s="32">
        <f>Summary!B136</f>
        <v>3</v>
      </c>
      <c r="C62" s="32">
        <f>Summary!C136</f>
        <v>4.7017543859649109</v>
      </c>
      <c r="D62" s="32">
        <f>Summary!D136</f>
        <v>3</v>
      </c>
      <c r="E62" s="32">
        <f>Summary!E136</f>
        <v>4.6923076923076925</v>
      </c>
      <c r="F62" s="32">
        <f>Summary!F136</f>
        <v>2.9399999999999995</v>
      </c>
      <c r="G62" s="32">
        <f>Summary!G136</f>
        <v>5</v>
      </c>
      <c r="H62" s="32">
        <f>Summary!H136</f>
        <v>3.666666666666667</v>
      </c>
      <c r="I62" s="32">
        <f>Summary!I136</f>
        <v>5</v>
      </c>
      <c r="J62" t="s">
        <v>160</v>
      </c>
    </row>
    <row r="63" spans="1:10" x14ac:dyDescent="0.3">
      <c r="A63" s="13" t="s">
        <v>79</v>
      </c>
      <c r="B63" s="32">
        <f>Summary!B137</f>
        <v>2.1111111111111107</v>
      </c>
      <c r="C63" s="32">
        <f>Summary!C137</f>
        <v>3.5298245614035082</v>
      </c>
      <c r="D63" s="32">
        <f>Summary!D137</f>
        <v>4.3333333333333339</v>
      </c>
      <c r="E63" s="32">
        <f>Summary!E137</f>
        <v>4.8974358974358978</v>
      </c>
      <c r="F63" s="32">
        <f>Summary!F137</f>
        <v>4.166666666666667</v>
      </c>
      <c r="G63" s="32">
        <f>Summary!G137</f>
        <v>5</v>
      </c>
      <c r="H63" s="32">
        <f>Summary!H137</f>
        <v>5</v>
      </c>
      <c r="I63" s="32">
        <f>Summary!I137</f>
        <v>5</v>
      </c>
      <c r="J63" t="s">
        <v>160</v>
      </c>
    </row>
    <row r="64" spans="1:10" x14ac:dyDescent="0.3">
      <c r="A64" t="s">
        <v>81</v>
      </c>
      <c r="B64" s="32">
        <f>Summary!B138</f>
        <v>3</v>
      </c>
      <c r="C64" s="32">
        <f>Summary!C138</f>
        <v>4.7017543859649109</v>
      </c>
      <c r="D64" s="32">
        <f>Summary!D138</f>
        <v>2.333333333333333</v>
      </c>
      <c r="E64" s="32">
        <f>Summary!E138</f>
        <v>4.5897435897435894</v>
      </c>
      <c r="F64" s="32">
        <f>Summary!F138</f>
        <v>2.6399999999999992</v>
      </c>
      <c r="G64" s="32">
        <f>Summary!G138</f>
        <v>5</v>
      </c>
      <c r="H64" s="32">
        <f>Summary!H138</f>
        <v>5</v>
      </c>
      <c r="I64" s="32">
        <f>Summary!I138</f>
        <v>5</v>
      </c>
      <c r="J64" t="s">
        <v>160</v>
      </c>
    </row>
    <row r="65" spans="1:10" x14ac:dyDescent="0.3">
      <c r="A65" t="s">
        <v>150</v>
      </c>
      <c r="B65" s="32">
        <f>Summary!B139</f>
        <v>3</v>
      </c>
      <c r="C65" s="32">
        <f>Summary!C139</f>
        <v>4.9298245614035077</v>
      </c>
      <c r="D65" s="32">
        <f>Summary!D139</f>
        <v>3</v>
      </c>
      <c r="E65" s="32">
        <f>Summary!E139</f>
        <v>4.1794871794871797</v>
      </c>
      <c r="F65" s="32">
        <f>Summary!F139</f>
        <v>3.7177777777777776</v>
      </c>
      <c r="G65" s="32">
        <f>Summary!G139</f>
        <v>4.666666666666667</v>
      </c>
      <c r="H65" s="32">
        <f>Summary!H139</f>
        <v>5</v>
      </c>
      <c r="I65" s="32">
        <f>Summary!I139</f>
        <v>5</v>
      </c>
      <c r="J65" t="s">
        <v>160</v>
      </c>
    </row>
    <row r="66" spans="1:10" x14ac:dyDescent="0.3">
      <c r="A66" t="s">
        <v>91</v>
      </c>
      <c r="B66" s="32">
        <f>Summary!B139</f>
        <v>3</v>
      </c>
      <c r="C66" s="32">
        <f>Summary!C139</f>
        <v>4.9298245614035077</v>
      </c>
      <c r="D66" s="32">
        <f>Summary!D139</f>
        <v>3</v>
      </c>
      <c r="E66" s="32">
        <f>Summary!E139</f>
        <v>4.1794871794871797</v>
      </c>
      <c r="F66" s="32">
        <f>Summary!F139</f>
        <v>3.7177777777777776</v>
      </c>
      <c r="G66" s="32">
        <f>Summary!G139</f>
        <v>4.666666666666667</v>
      </c>
      <c r="H66" s="32">
        <f>Summary!H139</f>
        <v>5</v>
      </c>
      <c r="I66" s="32">
        <f>Summary!I139</f>
        <v>5</v>
      </c>
      <c r="J66" t="s">
        <v>160</v>
      </c>
    </row>
    <row r="67" spans="1:10" x14ac:dyDescent="0.3">
      <c r="A67" t="s">
        <v>151</v>
      </c>
      <c r="B67" s="32">
        <f>Summary!B140</f>
        <v>3</v>
      </c>
      <c r="C67" s="32">
        <f>Summary!C140</f>
        <v>4.6877192982456126</v>
      </c>
      <c r="D67" s="32">
        <f>Summary!D140</f>
        <v>3</v>
      </c>
      <c r="E67" s="32">
        <f>Summary!E140</f>
        <v>4.8974358974358978</v>
      </c>
      <c r="F67" s="32">
        <f>Summary!F140</f>
        <v>3.0422222222222222</v>
      </c>
      <c r="G67" s="32">
        <f>Summary!G140</f>
        <v>5</v>
      </c>
      <c r="H67" s="32">
        <f>Summary!H140</f>
        <v>5</v>
      </c>
      <c r="I67" s="32">
        <f>Summary!I140</f>
        <v>1</v>
      </c>
      <c r="J67" t="s">
        <v>160</v>
      </c>
    </row>
    <row r="68" spans="1:10" x14ac:dyDescent="0.3">
      <c r="A68" t="s">
        <v>89</v>
      </c>
      <c r="B68" s="32">
        <f>Summary!B141</f>
        <v>1</v>
      </c>
      <c r="C68" s="32">
        <f>Summary!C141</f>
        <v>0</v>
      </c>
      <c r="D68" s="32">
        <f>Summary!D141</f>
        <v>4.3333333333333339</v>
      </c>
      <c r="E68" s="32">
        <f>Summary!E141</f>
        <v>4.8974358974358978</v>
      </c>
      <c r="F68" s="32">
        <f>Summary!F141</f>
        <v>3.8177777777777777</v>
      </c>
      <c r="G68" s="32">
        <f>Summary!G141</f>
        <v>1.6666666666666665</v>
      </c>
      <c r="H68" s="32">
        <f>Summary!H141</f>
        <v>5</v>
      </c>
      <c r="I68" s="32">
        <f>Summary!I141</f>
        <v>5</v>
      </c>
      <c r="J68" t="s">
        <v>160</v>
      </c>
    </row>
    <row r="69" spans="1:10" x14ac:dyDescent="0.3">
      <c r="A69" t="s">
        <v>152</v>
      </c>
      <c r="B69" s="32">
        <f>Summary!B142</f>
        <v>2.333333333333333</v>
      </c>
      <c r="C69" s="32">
        <f>Summary!C142</f>
        <v>3.8140350877192972</v>
      </c>
      <c r="D69" s="32">
        <f>Summary!D142</f>
        <v>3.6666666666666665</v>
      </c>
      <c r="E69" s="32">
        <f>Summary!E142</f>
        <v>4.8974358974358978</v>
      </c>
      <c r="F69" s="32">
        <f>Summary!F142</f>
        <v>3.1222222222222222</v>
      </c>
      <c r="G69" s="32">
        <f>Summary!G142</f>
        <v>5</v>
      </c>
      <c r="H69" s="32">
        <f>Summary!H142</f>
        <v>5</v>
      </c>
      <c r="I69" s="32">
        <f>Summary!I142</f>
        <v>5</v>
      </c>
      <c r="J69" t="s">
        <v>160</v>
      </c>
    </row>
    <row r="70" spans="1:10" x14ac:dyDescent="0.3">
      <c r="A70" t="s">
        <v>87</v>
      </c>
      <c r="B70" s="32">
        <f>Summary!B143</f>
        <v>1</v>
      </c>
      <c r="C70" s="32">
        <f>Summary!C143</f>
        <v>2.3333333333333321</v>
      </c>
      <c r="D70" s="32">
        <f>Summary!D143</f>
        <v>5</v>
      </c>
      <c r="E70" s="32">
        <f>Summary!E143</f>
        <v>4.8974358974358978</v>
      </c>
      <c r="F70" s="32">
        <f>Summary!F143</f>
        <v>4.6288888888888886</v>
      </c>
      <c r="G70" s="32">
        <f>Summary!G143</f>
        <v>5</v>
      </c>
      <c r="H70" s="32">
        <f>Summary!H143</f>
        <v>5</v>
      </c>
      <c r="I70" s="32">
        <f>Summary!I143</f>
        <v>5</v>
      </c>
      <c r="J70" t="s">
        <v>160</v>
      </c>
    </row>
    <row r="71" spans="1:10" x14ac:dyDescent="0.3">
      <c r="A71" t="s">
        <v>153</v>
      </c>
      <c r="B71" s="32">
        <f>Summary!B144</f>
        <v>3</v>
      </c>
      <c r="C71" s="32">
        <f>Summary!C144</f>
        <v>4.6877192982456126</v>
      </c>
      <c r="D71" s="32">
        <f>Summary!D144</f>
        <v>3</v>
      </c>
      <c r="E71" s="32">
        <f>Summary!E144</f>
        <v>4.8974358974358978</v>
      </c>
      <c r="F71" s="32">
        <f>Summary!F144</f>
        <v>3.04</v>
      </c>
      <c r="G71" s="32">
        <f>Summary!G144</f>
        <v>4.833333333333333</v>
      </c>
      <c r="H71" s="32">
        <f>Summary!H144</f>
        <v>5</v>
      </c>
      <c r="I71" s="32">
        <f>Summary!I144</f>
        <v>5</v>
      </c>
      <c r="J71" t="s">
        <v>160</v>
      </c>
    </row>
    <row r="72" spans="1:10" x14ac:dyDescent="0.3">
      <c r="A72" t="s">
        <v>77</v>
      </c>
      <c r="B72" s="32">
        <f>Summary!B147</f>
        <v>3</v>
      </c>
      <c r="C72" s="32">
        <f>Summary!C147</f>
        <v>4.6683760683760687</v>
      </c>
      <c r="D72" s="32">
        <f>Summary!D147</f>
        <v>3</v>
      </c>
      <c r="E72" s="32">
        <f>Summary!E147</f>
        <v>4.6923076923076925</v>
      </c>
      <c r="F72" s="32">
        <f>Summary!F147</f>
        <v>2.78</v>
      </c>
      <c r="G72" s="32">
        <f>Summary!G147</f>
        <v>5</v>
      </c>
      <c r="H72" s="32">
        <f>Summary!H147</f>
        <v>3.666666666666667</v>
      </c>
      <c r="I72" s="32">
        <f>Summary!I147</f>
        <v>5</v>
      </c>
      <c r="J72" t="s">
        <v>161</v>
      </c>
    </row>
    <row r="73" spans="1:10" x14ac:dyDescent="0.3">
      <c r="A73" s="13" t="s">
        <v>79</v>
      </c>
      <c r="B73" s="32">
        <f>Summary!B148</f>
        <v>2.1111111111111107</v>
      </c>
      <c r="C73" s="32">
        <f>Summary!C148</f>
        <v>3.5675213675213673</v>
      </c>
      <c r="D73" s="32">
        <f>Summary!D148</f>
        <v>4.3333333333333339</v>
      </c>
      <c r="E73" s="32">
        <f>Summary!E148</f>
        <v>4.8974358974358978</v>
      </c>
      <c r="F73" s="32">
        <f>Summary!F148</f>
        <v>4.3955555555555552</v>
      </c>
      <c r="G73" s="32">
        <f>Summary!G148</f>
        <v>5</v>
      </c>
      <c r="H73" s="32">
        <f>Summary!H148</f>
        <v>5</v>
      </c>
      <c r="I73" s="32">
        <f>Summary!I148</f>
        <v>5</v>
      </c>
      <c r="J73" t="s">
        <v>161</v>
      </c>
    </row>
    <row r="74" spans="1:10" x14ac:dyDescent="0.3">
      <c r="A74" t="s">
        <v>81</v>
      </c>
      <c r="B74" s="32">
        <f>Summary!B149</f>
        <v>3</v>
      </c>
      <c r="C74" s="32">
        <f>Summary!C149</f>
        <v>4.6683760683760687</v>
      </c>
      <c r="D74" s="32">
        <f>Summary!D149</f>
        <v>2.333333333333333</v>
      </c>
      <c r="E74" s="32">
        <f>Summary!E149</f>
        <v>4.2820512820512819</v>
      </c>
      <c r="F74" s="32">
        <f>Summary!F149</f>
        <v>2.4133333333333331</v>
      </c>
      <c r="G74" s="32">
        <f>Summary!G149</f>
        <v>5</v>
      </c>
      <c r="H74" s="32">
        <f>Summary!H149</f>
        <v>5</v>
      </c>
      <c r="I74" s="32">
        <f>Summary!I149</f>
        <v>5</v>
      </c>
      <c r="J74" t="s">
        <v>161</v>
      </c>
    </row>
    <row r="75" spans="1:10" x14ac:dyDescent="0.3">
      <c r="A75" t="s">
        <v>150</v>
      </c>
      <c r="B75" s="32">
        <f>Summary!B150</f>
        <v>3</v>
      </c>
      <c r="C75" s="32">
        <f>Summary!C150</f>
        <v>4.8632478632478628</v>
      </c>
      <c r="D75" s="32">
        <f>Summary!D150</f>
        <v>3</v>
      </c>
      <c r="E75" s="32">
        <f>Summary!E150</f>
        <v>4.1794871794871797</v>
      </c>
      <c r="F75" s="32">
        <f>Summary!F150</f>
        <v>2.8066666666666662</v>
      </c>
      <c r="G75" s="32">
        <f>Summary!G150</f>
        <v>4.666666666666667</v>
      </c>
      <c r="H75" s="32">
        <f>Summary!H150</f>
        <v>5</v>
      </c>
      <c r="I75" s="32">
        <f>Summary!I150</f>
        <v>5</v>
      </c>
      <c r="J75" t="s">
        <v>161</v>
      </c>
    </row>
    <row r="76" spans="1:10" x14ac:dyDescent="0.3">
      <c r="A76" t="s">
        <v>91</v>
      </c>
      <c r="B76" s="32">
        <f>Summary!B150</f>
        <v>3</v>
      </c>
      <c r="C76" s="32">
        <f>Summary!C150</f>
        <v>4.8632478632478628</v>
      </c>
      <c r="D76" s="32">
        <v>8</v>
      </c>
      <c r="E76" s="32">
        <f>Summary!E150</f>
        <v>4.1794871794871797</v>
      </c>
      <c r="F76" s="32">
        <f>Summary!F150</f>
        <v>2.8066666666666662</v>
      </c>
      <c r="G76" s="32">
        <f>Summary!G150</f>
        <v>4.666666666666667</v>
      </c>
      <c r="H76" s="32">
        <f>Summary!H150</f>
        <v>5</v>
      </c>
      <c r="I76" s="32">
        <f>Summary!I150</f>
        <v>5</v>
      </c>
      <c r="J76" t="s">
        <v>161</v>
      </c>
    </row>
    <row r="77" spans="1:10" x14ac:dyDescent="0.3">
      <c r="A77" t="s">
        <v>151</v>
      </c>
      <c r="B77" s="32">
        <f>Summary!B151</f>
        <v>3</v>
      </c>
      <c r="C77" s="32">
        <f>Summary!C151</f>
        <v>4.6683760683760687</v>
      </c>
      <c r="D77" s="32">
        <f>Summary!D151</f>
        <v>3</v>
      </c>
      <c r="E77" s="32">
        <f>Summary!E151</f>
        <v>4.8974358974358978</v>
      </c>
      <c r="F77" s="32">
        <f>Summary!F151</f>
        <v>2.9244444444444442</v>
      </c>
      <c r="G77" s="32">
        <f>Summary!G151</f>
        <v>5</v>
      </c>
      <c r="H77" s="32">
        <f>Summary!H151</f>
        <v>5</v>
      </c>
      <c r="I77" s="32">
        <f>Summary!I151</f>
        <v>1</v>
      </c>
      <c r="J77" t="s">
        <v>161</v>
      </c>
    </row>
    <row r="78" spans="1:10" x14ac:dyDescent="0.3">
      <c r="A78" t="s">
        <v>89</v>
      </c>
      <c r="B78" s="32">
        <f>Summary!B152</f>
        <v>1</v>
      </c>
      <c r="C78" s="32">
        <f>Summary!C152</f>
        <v>0</v>
      </c>
      <c r="D78" s="32">
        <f>Summary!D152</f>
        <v>4.3333333333333339</v>
      </c>
      <c r="E78" s="32">
        <f>Summary!E152</f>
        <v>4.8974358974358978</v>
      </c>
      <c r="F78" s="32">
        <f>Summary!F152</f>
        <v>3.8177777777777777</v>
      </c>
      <c r="G78" s="32">
        <f>Summary!G152</f>
        <v>1.6666666666666665</v>
      </c>
      <c r="H78" s="32">
        <f>Summary!H152</f>
        <v>5</v>
      </c>
      <c r="I78" s="32">
        <f>Summary!I152</f>
        <v>5</v>
      </c>
      <c r="J78" t="s">
        <v>161</v>
      </c>
    </row>
    <row r="79" spans="1:10" x14ac:dyDescent="0.3">
      <c r="A79" t="s">
        <v>152</v>
      </c>
      <c r="B79" s="32">
        <f>Summary!B153</f>
        <v>2.333333333333333</v>
      </c>
      <c r="C79" s="32">
        <f>Summary!C153</f>
        <v>3.8444444444444446</v>
      </c>
      <c r="D79" s="32">
        <f>Summary!D153</f>
        <v>3.6666666666666665</v>
      </c>
      <c r="E79" s="32">
        <f>Summary!E153</f>
        <v>4.8974358974358978</v>
      </c>
      <c r="F79" s="32">
        <f>Summary!F153</f>
        <v>3.1222222222222222</v>
      </c>
      <c r="G79" s="32">
        <f>Summary!G153</f>
        <v>5</v>
      </c>
      <c r="H79" s="32">
        <f>Summary!H153</f>
        <v>5</v>
      </c>
      <c r="I79" s="32">
        <f>Summary!I153</f>
        <v>5</v>
      </c>
      <c r="J79" t="s">
        <v>161</v>
      </c>
    </row>
    <row r="80" spans="1:10" x14ac:dyDescent="0.3">
      <c r="A80" t="s">
        <v>87</v>
      </c>
      <c r="B80" s="32">
        <f>Summary!B154</f>
        <v>1</v>
      </c>
      <c r="C80" s="32">
        <f>Summary!C154</f>
        <v>2.4017094017094012</v>
      </c>
      <c r="D80" s="32">
        <f>Summary!D154</f>
        <v>5</v>
      </c>
      <c r="E80" s="32">
        <f>Summary!E154</f>
        <v>4.8974358974358978</v>
      </c>
      <c r="F80" s="32">
        <f>Summary!F154</f>
        <v>4.6288888888888886</v>
      </c>
      <c r="G80" s="32">
        <f>Summary!G154</f>
        <v>5</v>
      </c>
      <c r="H80" s="32">
        <f>Summary!H154</f>
        <v>5</v>
      </c>
      <c r="I80" s="32">
        <f>Summary!I154</f>
        <v>5</v>
      </c>
      <c r="J80" t="s">
        <v>161</v>
      </c>
    </row>
    <row r="81" spans="1:10" x14ac:dyDescent="0.3">
      <c r="A81" t="s">
        <v>153</v>
      </c>
      <c r="B81" s="32">
        <f>Summary!B155</f>
        <v>3</v>
      </c>
      <c r="C81" s="32">
        <f>Summary!C155</f>
        <v>4.6376068376068371</v>
      </c>
      <c r="D81" s="32">
        <f>Summary!D155</f>
        <v>3</v>
      </c>
      <c r="E81" s="32">
        <f>Summary!E155</f>
        <v>4.6923076923076925</v>
      </c>
      <c r="F81" s="32">
        <f>Summary!F155</f>
        <v>2.9133333333333331</v>
      </c>
      <c r="G81" s="32">
        <f>Summary!G155</f>
        <v>4.833333333333333</v>
      </c>
      <c r="H81" s="32">
        <f>Summary!H155</f>
        <v>5</v>
      </c>
      <c r="I81" s="32">
        <f>Summary!I155</f>
        <v>5</v>
      </c>
      <c r="J81" t="s">
        <v>161</v>
      </c>
    </row>
    <row r="82" spans="1:10" x14ac:dyDescent="0.3">
      <c r="A82" t="s">
        <v>77</v>
      </c>
      <c r="B82" s="32">
        <f>Summary!B158</f>
        <v>3</v>
      </c>
      <c r="C82" s="32">
        <f>Summary!C158</f>
        <v>3.6033333333333326</v>
      </c>
      <c r="D82" s="32">
        <f>Summary!D158</f>
        <v>3.6666666666666665</v>
      </c>
      <c r="E82" s="32">
        <f>Summary!E158</f>
        <v>4.6923076923076925</v>
      </c>
      <c r="F82" s="32">
        <f>Summary!F158</f>
        <v>3.9555555555555557</v>
      </c>
      <c r="G82" s="32">
        <f>Summary!G158</f>
        <v>5</v>
      </c>
      <c r="H82" s="32">
        <f>Summary!H158</f>
        <v>3.666666666666667</v>
      </c>
      <c r="I82" s="32">
        <f>Summary!I158</f>
        <v>5</v>
      </c>
      <c r="J82" t="s">
        <v>162</v>
      </c>
    </row>
    <row r="83" spans="1:10" x14ac:dyDescent="0.3">
      <c r="A83" s="13" t="s">
        <v>79</v>
      </c>
      <c r="B83" s="32">
        <f>Summary!B159</f>
        <v>2.1111111111111107</v>
      </c>
      <c r="C83" s="32">
        <f>Summary!C159</f>
        <v>3.6033333333333326</v>
      </c>
      <c r="D83" s="32">
        <f>Summary!D159</f>
        <v>4.3333333333333339</v>
      </c>
      <c r="E83" s="32">
        <f>Summary!E159</f>
        <v>4.8974358974358978</v>
      </c>
      <c r="F83" s="32">
        <f>Summary!F159</f>
        <v>4.1688888888888886</v>
      </c>
      <c r="G83" s="32">
        <f>Summary!G159</f>
        <v>5</v>
      </c>
      <c r="H83" s="32">
        <f>Summary!H159</f>
        <v>5</v>
      </c>
      <c r="I83" s="32">
        <f>Summary!I159</f>
        <v>5</v>
      </c>
      <c r="J83" t="s">
        <v>162</v>
      </c>
    </row>
    <row r="84" spans="1:10" x14ac:dyDescent="0.3">
      <c r="A84" t="s">
        <v>81</v>
      </c>
      <c r="B84" s="32">
        <f>Summary!B160</f>
        <v>3</v>
      </c>
      <c r="C84" s="32">
        <f>Summary!C160</f>
        <v>3.6033333333333326</v>
      </c>
      <c r="D84" s="32">
        <f>Summary!D160</f>
        <v>3</v>
      </c>
      <c r="E84" s="32">
        <f>Summary!E160</f>
        <v>4.0769230769230766</v>
      </c>
      <c r="F84" s="32">
        <f>Summary!F160</f>
        <v>3.1444444444444448</v>
      </c>
      <c r="G84" s="32">
        <f>Summary!G160</f>
        <v>5</v>
      </c>
      <c r="H84" s="32">
        <f>Summary!H160</f>
        <v>5</v>
      </c>
      <c r="I84" s="32">
        <f>Summary!I160</f>
        <v>5</v>
      </c>
      <c r="J84" t="s">
        <v>162</v>
      </c>
    </row>
    <row r="85" spans="1:10" x14ac:dyDescent="0.3">
      <c r="A85" t="s">
        <v>150</v>
      </c>
      <c r="B85" s="32">
        <f>Summary!B161</f>
        <v>3</v>
      </c>
      <c r="C85" s="32">
        <f>Summary!C161</f>
        <v>3.6033333333333326</v>
      </c>
      <c r="D85" s="32">
        <f>Summary!D161</f>
        <v>3.6666666666666665</v>
      </c>
      <c r="E85" s="32">
        <f>Summary!E161</f>
        <v>4.8974358974358978</v>
      </c>
      <c r="F85" s="32">
        <f>Summary!F161</f>
        <v>4.3111111111111109</v>
      </c>
      <c r="G85" s="32">
        <f>Summary!G161</f>
        <v>4.666666666666667</v>
      </c>
      <c r="H85" s="32">
        <f>Summary!H161</f>
        <v>5</v>
      </c>
      <c r="I85" s="32">
        <f>Summary!I161</f>
        <v>5</v>
      </c>
      <c r="J85" t="s">
        <v>162</v>
      </c>
    </row>
    <row r="86" spans="1:10" x14ac:dyDescent="0.3">
      <c r="A86" t="s">
        <v>91</v>
      </c>
      <c r="B86" s="32">
        <f>Summary!B161</f>
        <v>3</v>
      </c>
      <c r="C86" s="32">
        <f>Summary!C161</f>
        <v>3.6033333333333326</v>
      </c>
      <c r="D86" s="32">
        <f>Summary!D161</f>
        <v>3.6666666666666665</v>
      </c>
      <c r="E86" s="32">
        <f>Summary!E161</f>
        <v>4.8974358974358978</v>
      </c>
      <c r="F86" s="32">
        <f>Summary!F161</f>
        <v>4.3111111111111109</v>
      </c>
      <c r="G86" s="32">
        <f>Summary!G161</f>
        <v>4.666666666666667</v>
      </c>
      <c r="H86" s="32">
        <f>Summary!H161</f>
        <v>5</v>
      </c>
      <c r="I86" s="32">
        <f>Summary!I161</f>
        <v>5</v>
      </c>
      <c r="J86" t="s">
        <v>162</v>
      </c>
    </row>
    <row r="87" spans="1:10" x14ac:dyDescent="0.3">
      <c r="A87" t="s">
        <v>151</v>
      </c>
      <c r="B87" s="32">
        <f>Summary!B162</f>
        <v>3</v>
      </c>
      <c r="C87" s="32">
        <f>Summary!C162</f>
        <v>3.6033333333333326</v>
      </c>
      <c r="D87" s="32">
        <f>Summary!D162</f>
        <v>3.6666666666666665</v>
      </c>
      <c r="E87" s="32">
        <f>Summary!E162</f>
        <v>4.8974358974358978</v>
      </c>
      <c r="F87" s="32">
        <f>Summary!F162</f>
        <v>4.1733333333333338</v>
      </c>
      <c r="G87" s="32">
        <f>Summary!G162</f>
        <v>5</v>
      </c>
      <c r="H87" s="32">
        <f>Summary!H162</f>
        <v>5</v>
      </c>
      <c r="I87" s="32">
        <f>Summary!I162</f>
        <v>1</v>
      </c>
      <c r="J87" t="s">
        <v>162</v>
      </c>
    </row>
    <row r="88" spans="1:10" x14ac:dyDescent="0.3">
      <c r="A88" t="s">
        <v>89</v>
      </c>
      <c r="B88" s="32">
        <f>Summary!B163</f>
        <v>1</v>
      </c>
      <c r="C88" s="32">
        <f>Summary!C163</f>
        <v>0</v>
      </c>
      <c r="D88" s="32">
        <f>Summary!D163</f>
        <v>4.3333333333333339</v>
      </c>
      <c r="E88" s="32">
        <f>Summary!E163</f>
        <v>4.8974358974358978</v>
      </c>
      <c r="F88" s="32">
        <f>Summary!F163</f>
        <v>4.7088888888888887</v>
      </c>
      <c r="G88" s="32">
        <f>Summary!G163</f>
        <v>1.6666666666666665</v>
      </c>
      <c r="H88" s="32">
        <f>Summary!H163</f>
        <v>5</v>
      </c>
      <c r="I88" s="32">
        <f>Summary!I163</f>
        <v>5</v>
      </c>
      <c r="J88" t="s">
        <v>162</v>
      </c>
    </row>
    <row r="89" spans="1:10" x14ac:dyDescent="0.3">
      <c r="A89" t="s">
        <v>152</v>
      </c>
      <c r="B89" s="32">
        <f>Summary!B164</f>
        <v>2.333333333333333</v>
      </c>
      <c r="C89" s="32">
        <f>Summary!C164</f>
        <v>3.8733333333333326</v>
      </c>
      <c r="D89" s="32">
        <f>Summary!D164</f>
        <v>3.6666666666666665</v>
      </c>
      <c r="E89" s="32">
        <f>Summary!E164</f>
        <v>4.8974358974358978</v>
      </c>
      <c r="F89" s="32">
        <f>Summary!F164</f>
        <v>3.1222222222222222</v>
      </c>
      <c r="G89" s="32">
        <f>Summary!G164</f>
        <v>5</v>
      </c>
      <c r="H89" s="32">
        <f>Summary!H164</f>
        <v>5</v>
      </c>
      <c r="I89" s="32">
        <f>Summary!I164</f>
        <v>5</v>
      </c>
      <c r="J89" t="s">
        <v>162</v>
      </c>
    </row>
    <row r="90" spans="1:10" x14ac:dyDescent="0.3">
      <c r="A90" t="s">
        <v>87</v>
      </c>
      <c r="B90" s="32">
        <f>Summary!B165</f>
        <v>1</v>
      </c>
      <c r="C90" s="32">
        <f>Summary!C165</f>
        <v>2.4666666666666659</v>
      </c>
      <c r="D90" s="32">
        <f>Summary!D165</f>
        <v>5</v>
      </c>
      <c r="E90" s="32">
        <f>Summary!E165</f>
        <v>4.8974358974358978</v>
      </c>
      <c r="F90" s="32">
        <f>Summary!F165</f>
        <v>4.6288888888888886</v>
      </c>
      <c r="G90" s="32">
        <f>Summary!G165</f>
        <v>5</v>
      </c>
      <c r="H90" s="32">
        <f>Summary!H165</f>
        <v>5</v>
      </c>
      <c r="I90" s="32">
        <f>Summary!I165</f>
        <v>5</v>
      </c>
      <c r="J90" t="s">
        <v>162</v>
      </c>
    </row>
    <row r="91" spans="1:10" x14ac:dyDescent="0.3">
      <c r="A91" t="s">
        <v>153</v>
      </c>
      <c r="B91" s="32">
        <f>Summary!B166</f>
        <v>3</v>
      </c>
      <c r="C91" s="32">
        <f>Summary!C166</f>
        <v>3.6033333333333326</v>
      </c>
      <c r="D91" s="32">
        <f>Summary!D166</f>
        <v>3.6666666666666665</v>
      </c>
      <c r="E91" s="32">
        <f>Summary!E166</f>
        <v>4.8974358974358978</v>
      </c>
      <c r="F91" s="32">
        <f>Summary!F166</f>
        <v>4.3133333333333335</v>
      </c>
      <c r="G91" s="32">
        <f>Summary!G166</f>
        <v>4.833333333333333</v>
      </c>
      <c r="H91" s="32">
        <f>Summary!H166</f>
        <v>5</v>
      </c>
      <c r="I91" s="32">
        <f>Summary!I166</f>
        <v>5</v>
      </c>
      <c r="J91" t="s">
        <v>162</v>
      </c>
    </row>
    <row r="92" spans="1:10" x14ac:dyDescent="0.3">
      <c r="A92" t="s">
        <v>77</v>
      </c>
      <c r="B92" s="32">
        <f>Summary!B169</f>
        <v>3</v>
      </c>
      <c r="C92" s="32">
        <f>Summary!C169</f>
        <v>3.6373983739837401</v>
      </c>
      <c r="D92" s="32">
        <f>Summary!D169</f>
        <v>3.6666666666666665</v>
      </c>
      <c r="E92" s="32">
        <f>Summary!E169</f>
        <v>4.6923076923076925</v>
      </c>
      <c r="F92" s="32">
        <f>Summary!F169</f>
        <v>3.9555555555555557</v>
      </c>
      <c r="G92" s="32">
        <f>Summary!G169</f>
        <v>5</v>
      </c>
      <c r="H92" s="32">
        <f>Summary!H169</f>
        <v>3.666666666666667</v>
      </c>
      <c r="I92" s="32">
        <f>Summary!I169</f>
        <v>5</v>
      </c>
      <c r="J92" t="s">
        <v>163</v>
      </c>
    </row>
    <row r="93" spans="1:10" x14ac:dyDescent="0.3">
      <c r="A93" s="13" t="s">
        <v>79</v>
      </c>
      <c r="B93" s="32">
        <f>Summary!B170</f>
        <v>2.1111111111111107</v>
      </c>
      <c r="C93" s="32">
        <f>Summary!C170</f>
        <v>3.6373983739837401</v>
      </c>
      <c r="D93" s="32">
        <f>Summary!D170</f>
        <v>4.3333333333333339</v>
      </c>
      <c r="E93" s="32">
        <f>Summary!E170</f>
        <v>4.8974358974358978</v>
      </c>
      <c r="F93" s="32">
        <f>Summary!F170</f>
        <v>4.166666666666667</v>
      </c>
      <c r="G93" s="32">
        <f>Summary!G170</f>
        <v>5</v>
      </c>
      <c r="H93" s="32">
        <f>Summary!H170</f>
        <v>5</v>
      </c>
      <c r="I93" s="32">
        <f>Summary!I170</f>
        <v>5</v>
      </c>
      <c r="J93" t="s">
        <v>163</v>
      </c>
    </row>
    <row r="94" spans="1:10" x14ac:dyDescent="0.3">
      <c r="A94" t="s">
        <v>81</v>
      </c>
      <c r="B94" s="32">
        <f>Summary!B171</f>
        <v>3</v>
      </c>
      <c r="C94" s="32">
        <f>Summary!C171</f>
        <v>3.6373983739837401</v>
      </c>
      <c r="D94" s="32">
        <f>Summary!D171</f>
        <v>3</v>
      </c>
      <c r="E94" s="32">
        <f>Summary!E171</f>
        <v>3.9743589743589745</v>
      </c>
      <c r="F94" s="32">
        <f>Summary!F171</f>
        <v>2.8444444444444441</v>
      </c>
      <c r="G94" s="32">
        <f>Summary!G171</f>
        <v>5</v>
      </c>
      <c r="H94" s="32">
        <f>Summary!H171</f>
        <v>5</v>
      </c>
      <c r="I94" s="32">
        <f>Summary!I171</f>
        <v>5</v>
      </c>
      <c r="J94" t="s">
        <v>163</v>
      </c>
    </row>
    <row r="95" spans="1:10" x14ac:dyDescent="0.3">
      <c r="A95" t="s">
        <v>150</v>
      </c>
      <c r="B95" s="32">
        <f>Summary!B172</f>
        <v>3</v>
      </c>
      <c r="C95" s="32">
        <f>Summary!C172</f>
        <v>3.6373983739837401</v>
      </c>
      <c r="D95" s="32">
        <f>Summary!D172</f>
        <v>3.6666666666666665</v>
      </c>
      <c r="E95" s="32">
        <f>Summary!E172</f>
        <v>4.8974358974358978</v>
      </c>
      <c r="F95" s="32">
        <f>Summary!F172</f>
        <v>4.2444444444444445</v>
      </c>
      <c r="G95" s="32">
        <f>Summary!G172</f>
        <v>4.666666666666667</v>
      </c>
      <c r="H95" s="32">
        <f>Summary!H172</f>
        <v>5</v>
      </c>
      <c r="I95" s="32">
        <f>Summary!I172</f>
        <v>5</v>
      </c>
      <c r="J95" t="s">
        <v>163</v>
      </c>
    </row>
    <row r="96" spans="1:10" x14ac:dyDescent="0.3">
      <c r="A96" t="s">
        <v>91</v>
      </c>
      <c r="B96" s="32">
        <f>Summary!B172</f>
        <v>3</v>
      </c>
      <c r="C96" s="32">
        <f>Summary!C172</f>
        <v>3.6373983739837401</v>
      </c>
      <c r="D96" s="32">
        <f>Summary!D172</f>
        <v>3.6666666666666665</v>
      </c>
      <c r="E96" s="32">
        <f>Summary!E172</f>
        <v>4.8974358974358978</v>
      </c>
      <c r="F96" s="32">
        <f>Summary!F172</f>
        <v>4.2444444444444445</v>
      </c>
      <c r="G96" s="32">
        <f>Summary!G172</f>
        <v>4.666666666666667</v>
      </c>
      <c r="H96" s="32">
        <f>Summary!H172</f>
        <v>5</v>
      </c>
      <c r="I96" s="32">
        <f>Summary!I172</f>
        <v>5</v>
      </c>
      <c r="J96" t="s">
        <v>163</v>
      </c>
    </row>
    <row r="97" spans="1:10" x14ac:dyDescent="0.3">
      <c r="A97" t="s">
        <v>151</v>
      </c>
      <c r="B97" s="32">
        <f>Summary!B173</f>
        <v>3</v>
      </c>
      <c r="C97" s="32">
        <f>Summary!C173</f>
        <v>3.6373983739837401</v>
      </c>
      <c r="D97" s="32">
        <f>Summary!D173</f>
        <v>3.6666666666666665</v>
      </c>
      <c r="E97" s="32">
        <f>Summary!E173</f>
        <v>4.8974358974358978</v>
      </c>
      <c r="F97" s="32">
        <f>Summary!F173</f>
        <v>4.1222222222222218</v>
      </c>
      <c r="G97" s="32">
        <f>Summary!G173</f>
        <v>5</v>
      </c>
      <c r="H97" s="32">
        <f>Summary!H173</f>
        <v>5</v>
      </c>
      <c r="I97" s="32">
        <f>Summary!I173</f>
        <v>1</v>
      </c>
      <c r="J97" t="s">
        <v>163</v>
      </c>
    </row>
    <row r="98" spans="1:10" x14ac:dyDescent="0.3">
      <c r="A98" t="s">
        <v>89</v>
      </c>
      <c r="B98" s="32">
        <f>Summary!B174</f>
        <v>1</v>
      </c>
      <c r="C98" s="32">
        <f>Summary!C174</f>
        <v>0</v>
      </c>
      <c r="D98" s="32">
        <f>Summary!D174</f>
        <v>4.3333333333333339</v>
      </c>
      <c r="E98" s="32">
        <f>Summary!E174</f>
        <v>4.8974358974358978</v>
      </c>
      <c r="F98" s="32">
        <f>Summary!F174</f>
        <v>3.9555555555555557</v>
      </c>
      <c r="G98" s="32">
        <f>Summary!G174</f>
        <v>1.6666666666666665</v>
      </c>
      <c r="H98" s="32">
        <f>Summary!H174</f>
        <v>5</v>
      </c>
      <c r="I98" s="32">
        <f>Summary!I174</f>
        <v>5</v>
      </c>
      <c r="J98" t="s">
        <v>163</v>
      </c>
    </row>
    <row r="99" spans="1:10" x14ac:dyDescent="0.3">
      <c r="A99" t="s">
        <v>152</v>
      </c>
      <c r="B99" s="32">
        <f>Summary!B175</f>
        <v>2.333333333333333</v>
      </c>
      <c r="C99" s="32">
        <f>Summary!C175</f>
        <v>3.9008130081300814</v>
      </c>
      <c r="D99" s="32">
        <f>Summary!D175</f>
        <v>3.6666666666666665</v>
      </c>
      <c r="E99" s="32">
        <f>Summary!E175</f>
        <v>4.8974358974358978</v>
      </c>
      <c r="F99" s="32">
        <f>Summary!F175</f>
        <v>3.1222222222222222</v>
      </c>
      <c r="G99" s="32">
        <f>Summary!G175</f>
        <v>5</v>
      </c>
      <c r="H99" s="32">
        <f>Summary!H175</f>
        <v>5</v>
      </c>
      <c r="I99" s="32">
        <f>Summary!I175</f>
        <v>5</v>
      </c>
      <c r="J99" t="s">
        <v>163</v>
      </c>
    </row>
    <row r="100" spans="1:10" x14ac:dyDescent="0.3">
      <c r="A100" t="s">
        <v>87</v>
      </c>
      <c r="B100" s="32">
        <f>Summary!B176</f>
        <v>1</v>
      </c>
      <c r="C100" s="32">
        <f>Summary!C176</f>
        <v>2.5284552845528454</v>
      </c>
      <c r="D100" s="32">
        <f>Summary!D176</f>
        <v>5</v>
      </c>
      <c r="E100" s="32">
        <f>Summary!E176</f>
        <v>4.8974358974358978</v>
      </c>
      <c r="F100" s="32">
        <f>Summary!F176</f>
        <v>4.6288888888888886</v>
      </c>
      <c r="G100" s="32">
        <f>Summary!G176</f>
        <v>5</v>
      </c>
      <c r="H100" s="32">
        <f>Summary!H176</f>
        <v>5</v>
      </c>
      <c r="I100" s="32">
        <f>Summary!I176</f>
        <v>5</v>
      </c>
      <c r="J100" t="s">
        <v>163</v>
      </c>
    </row>
    <row r="101" spans="1:10" x14ac:dyDescent="0.3">
      <c r="A101" t="s">
        <v>153</v>
      </c>
      <c r="B101" s="32">
        <f>Summary!B177</f>
        <v>3</v>
      </c>
      <c r="C101" s="32">
        <f>Summary!C177</f>
        <v>3.6373983739837401</v>
      </c>
      <c r="D101" s="32">
        <f>Summary!D177</f>
        <v>3.6666666666666665</v>
      </c>
      <c r="E101" s="32">
        <f>Summary!E177</f>
        <v>4.8974358974358978</v>
      </c>
      <c r="F101" s="32">
        <f>Summary!F177</f>
        <v>4.2466666666666661</v>
      </c>
      <c r="G101" s="32">
        <f>Summary!G177</f>
        <v>4.833333333333333</v>
      </c>
      <c r="H101" s="32">
        <f>Summary!H177</f>
        <v>5</v>
      </c>
      <c r="I101" s="32">
        <f>Summary!I177</f>
        <v>5</v>
      </c>
      <c r="J101" t="s">
        <v>163</v>
      </c>
    </row>
    <row r="102" spans="1:10" x14ac:dyDescent="0.3">
      <c r="A102" t="s">
        <v>77</v>
      </c>
      <c r="B102" s="32">
        <f>Summary!B180</f>
        <v>3</v>
      </c>
      <c r="C102" s="32">
        <f>Summary!C180</f>
        <v>3.6698412698412692</v>
      </c>
      <c r="D102" s="32">
        <f>Summary!D180</f>
        <v>4.3333333333333339</v>
      </c>
      <c r="E102" s="32">
        <f>Summary!E180</f>
        <v>4.6923076923076925</v>
      </c>
      <c r="F102" s="32">
        <f>Summary!F180</f>
        <v>4.0866666666666669</v>
      </c>
      <c r="G102" s="32">
        <f>Summary!G180</f>
        <v>5</v>
      </c>
      <c r="H102" s="32">
        <f>Summary!H180</f>
        <v>3.666666666666667</v>
      </c>
      <c r="I102" s="32">
        <f>Summary!I180</f>
        <v>5</v>
      </c>
      <c r="J102" t="s">
        <v>164</v>
      </c>
    </row>
    <row r="103" spans="1:10" x14ac:dyDescent="0.3">
      <c r="A103" s="13" t="s">
        <v>79</v>
      </c>
      <c r="B103" s="32">
        <f>Summary!B181</f>
        <v>2.1111111111111107</v>
      </c>
      <c r="C103" s="32">
        <f>Summary!C181</f>
        <v>3.6698412698412692</v>
      </c>
      <c r="D103" s="32">
        <f>Summary!D181</f>
        <v>3.6666666666666665</v>
      </c>
      <c r="E103" s="32">
        <f>Summary!E181</f>
        <v>4.8974358974358978</v>
      </c>
      <c r="F103" s="32">
        <f>Summary!F181</f>
        <v>4.0888888888888886</v>
      </c>
      <c r="G103" s="32">
        <f>Summary!G181</f>
        <v>5</v>
      </c>
      <c r="H103" s="32">
        <f>Summary!H181</f>
        <v>5</v>
      </c>
      <c r="I103" s="32">
        <f>Summary!I181</f>
        <v>5</v>
      </c>
      <c r="J103" t="s">
        <v>164</v>
      </c>
    </row>
    <row r="104" spans="1:10" x14ac:dyDescent="0.3">
      <c r="A104" t="s">
        <v>81</v>
      </c>
      <c r="B104" s="32">
        <f>Summary!B182</f>
        <v>3</v>
      </c>
      <c r="C104" s="32">
        <f>Summary!C182</f>
        <v>3.6698412698412692</v>
      </c>
      <c r="D104" s="32">
        <f>Summary!D182</f>
        <v>3</v>
      </c>
      <c r="E104" s="32">
        <f>Summary!E182</f>
        <v>4.0769230769230766</v>
      </c>
      <c r="F104" s="32">
        <f>Summary!F182</f>
        <v>1.9333333333333336</v>
      </c>
      <c r="G104" s="32">
        <f>Summary!G182</f>
        <v>5</v>
      </c>
      <c r="H104" s="32">
        <f>Summary!H182</f>
        <v>5</v>
      </c>
      <c r="I104" s="32">
        <f>Summary!I182</f>
        <v>5</v>
      </c>
      <c r="J104" t="s">
        <v>164</v>
      </c>
    </row>
    <row r="105" spans="1:10" x14ac:dyDescent="0.3">
      <c r="A105" t="s">
        <v>150</v>
      </c>
      <c r="B105" s="32">
        <f>Summary!B183</f>
        <v>3</v>
      </c>
      <c r="C105" s="32">
        <f>Summary!C183</f>
        <v>3.6698412698412692</v>
      </c>
      <c r="D105" s="32">
        <f>Summary!D183</f>
        <v>3.6666666666666665</v>
      </c>
      <c r="E105" s="32">
        <f>Summary!E183</f>
        <v>4.8974358974358978</v>
      </c>
      <c r="F105" s="32">
        <f>Summary!F183</f>
        <v>3.9488888888888889</v>
      </c>
      <c r="G105" s="32">
        <f>Summary!G183</f>
        <v>4.666666666666667</v>
      </c>
      <c r="H105" s="32">
        <f>Summary!H183</f>
        <v>5</v>
      </c>
      <c r="I105" s="32">
        <f>Summary!I183</f>
        <v>5</v>
      </c>
      <c r="J105" t="s">
        <v>164</v>
      </c>
    </row>
    <row r="106" spans="1:10" x14ac:dyDescent="0.3">
      <c r="A106" t="s">
        <v>91</v>
      </c>
      <c r="B106" s="32">
        <f>Summary!B183</f>
        <v>3</v>
      </c>
      <c r="C106" s="32">
        <f>Summary!C183</f>
        <v>3.6698412698412692</v>
      </c>
      <c r="D106" s="32">
        <f>Summary!D183</f>
        <v>3.6666666666666665</v>
      </c>
      <c r="E106" s="32">
        <f>Summary!E183</f>
        <v>4.8974358974358978</v>
      </c>
      <c r="F106" s="32">
        <f>Summary!F183</f>
        <v>3.9488888888888889</v>
      </c>
      <c r="G106" s="32">
        <f>Summary!G183</f>
        <v>4.666666666666667</v>
      </c>
      <c r="H106" s="32">
        <f>Summary!H183</f>
        <v>5</v>
      </c>
      <c r="I106" s="32">
        <f>Summary!I183</f>
        <v>5</v>
      </c>
      <c r="J106" t="s">
        <v>164</v>
      </c>
    </row>
    <row r="107" spans="1:10" x14ac:dyDescent="0.3">
      <c r="A107" t="s">
        <v>151</v>
      </c>
      <c r="B107" s="32">
        <f>Summary!B184</f>
        <v>3</v>
      </c>
      <c r="C107" s="32">
        <f>Summary!C184</f>
        <v>3.6698412698412692</v>
      </c>
      <c r="D107" s="32">
        <f>Summary!D184</f>
        <v>3.6666666666666665</v>
      </c>
      <c r="E107" s="32">
        <f>Summary!E184</f>
        <v>4.8974358974358978</v>
      </c>
      <c r="F107" s="32">
        <f>Summary!F184</f>
        <v>3.822222222222222</v>
      </c>
      <c r="G107" s="32">
        <f>Summary!G184</f>
        <v>5</v>
      </c>
      <c r="H107" s="32">
        <f>Summary!H184</f>
        <v>5</v>
      </c>
      <c r="I107" s="32">
        <f>Summary!I184</f>
        <v>1</v>
      </c>
      <c r="J107" t="s">
        <v>164</v>
      </c>
    </row>
    <row r="108" spans="1:10" x14ac:dyDescent="0.3">
      <c r="A108" t="s">
        <v>89</v>
      </c>
      <c r="B108" s="32">
        <f>Summary!B185</f>
        <v>1</v>
      </c>
      <c r="C108" s="32">
        <f>Summary!C185</f>
        <v>0</v>
      </c>
      <c r="D108" s="32">
        <f>Summary!D185</f>
        <v>4.3333333333333339</v>
      </c>
      <c r="E108" s="32">
        <f>Summary!E185</f>
        <v>4.8974358974358978</v>
      </c>
      <c r="F108" s="32">
        <f>Summary!F185</f>
        <v>3.8177777777777777</v>
      </c>
      <c r="G108" s="32">
        <f>Summary!G185</f>
        <v>1.6666666666666665</v>
      </c>
      <c r="H108" s="32">
        <f>Summary!H185</f>
        <v>5</v>
      </c>
      <c r="I108" s="32">
        <f>Summary!I185</f>
        <v>5</v>
      </c>
      <c r="J108" t="s">
        <v>164</v>
      </c>
    </row>
    <row r="109" spans="1:10" x14ac:dyDescent="0.3">
      <c r="A109" t="s">
        <v>152</v>
      </c>
      <c r="B109" s="32">
        <f>Summary!B186</f>
        <v>2.333333333333333</v>
      </c>
      <c r="C109" s="32">
        <f>Summary!C186</f>
        <v>3.9269841269841259</v>
      </c>
      <c r="D109" s="32">
        <f>Summary!D186</f>
        <v>3.6666666666666665</v>
      </c>
      <c r="E109" s="32">
        <f>Summary!E186</f>
        <v>4.8974358974358978</v>
      </c>
      <c r="F109" s="32">
        <f>Summary!F186</f>
        <v>3.1311111111111112</v>
      </c>
      <c r="G109" s="32">
        <f>Summary!G186</f>
        <v>5</v>
      </c>
      <c r="H109" s="32">
        <f>Summary!H186</f>
        <v>5</v>
      </c>
      <c r="I109" s="32">
        <f>Summary!I186</f>
        <v>5</v>
      </c>
      <c r="J109" t="s">
        <v>164</v>
      </c>
    </row>
    <row r="110" spans="1:10" x14ac:dyDescent="0.3">
      <c r="A110" t="s">
        <v>87</v>
      </c>
      <c r="B110" s="32">
        <f>Summary!B187</f>
        <v>1</v>
      </c>
      <c r="C110" s="32">
        <f>Summary!C187</f>
        <v>2.5873015873015865</v>
      </c>
      <c r="D110" s="32">
        <f>Summary!D187</f>
        <v>5</v>
      </c>
      <c r="E110" s="32">
        <f>Summary!E187</f>
        <v>4.8974358974358978</v>
      </c>
      <c r="F110" s="32">
        <f>Summary!F187</f>
        <v>4.6288888888888886</v>
      </c>
      <c r="G110" s="32">
        <f>Summary!G187</f>
        <v>5</v>
      </c>
      <c r="H110" s="32">
        <f>Summary!H187</f>
        <v>5</v>
      </c>
      <c r="I110" s="32">
        <f>Summary!I187</f>
        <v>5</v>
      </c>
      <c r="J110" t="s">
        <v>164</v>
      </c>
    </row>
    <row r="111" spans="1:10" x14ac:dyDescent="0.3">
      <c r="A111" t="s">
        <v>153</v>
      </c>
      <c r="B111" s="32">
        <f>Summary!B188</f>
        <v>3</v>
      </c>
      <c r="C111" s="32">
        <f>Summary!C188</f>
        <v>3.6698412698412692</v>
      </c>
      <c r="D111" s="32">
        <f>Summary!D188</f>
        <v>3.6666666666666665</v>
      </c>
      <c r="E111" s="32">
        <f>Summary!E188</f>
        <v>4.8974358974358978</v>
      </c>
      <c r="F111" s="32">
        <f>Summary!F188</f>
        <v>3.951111111111111</v>
      </c>
      <c r="G111" s="32">
        <f>Summary!G188</f>
        <v>4.833333333333333</v>
      </c>
      <c r="H111" s="32">
        <f>Summary!H188</f>
        <v>5</v>
      </c>
      <c r="I111" s="32">
        <f>Summary!I188</f>
        <v>5</v>
      </c>
      <c r="J111" t="s">
        <v>164</v>
      </c>
    </row>
    <row r="112" spans="1:10" x14ac:dyDescent="0.3">
      <c r="A112" t="s">
        <v>77</v>
      </c>
      <c r="B112" s="32">
        <f>Summary!B191</f>
        <v>3</v>
      </c>
      <c r="C112" s="32">
        <f>Summary!C191</f>
        <v>3.7007751937984503</v>
      </c>
      <c r="D112" s="32">
        <f>Summary!D191</f>
        <v>3.6666666666666665</v>
      </c>
      <c r="E112" s="32">
        <f>Summary!E191</f>
        <v>4.6923076923076925</v>
      </c>
      <c r="F112" s="32">
        <f>Summary!F191</f>
        <v>3.9644444444444442</v>
      </c>
      <c r="G112" s="32">
        <f>Summary!G191</f>
        <v>5</v>
      </c>
      <c r="H112" s="32">
        <f>Summary!H191</f>
        <v>3.666666666666667</v>
      </c>
      <c r="I112" s="32">
        <f>Summary!I191</f>
        <v>5</v>
      </c>
      <c r="J112" t="s">
        <v>165</v>
      </c>
    </row>
    <row r="113" spans="1:10" x14ac:dyDescent="0.3">
      <c r="A113" s="13" t="s">
        <v>79</v>
      </c>
      <c r="B113" s="32">
        <f>Summary!B192</f>
        <v>2.1111111111111107</v>
      </c>
      <c r="C113" s="32">
        <f>Summary!C192</f>
        <v>3.7007751937984503</v>
      </c>
      <c r="D113" s="32">
        <f>Summary!D192</f>
        <v>3.6666666666666665</v>
      </c>
      <c r="E113" s="32">
        <f>Summary!E192</f>
        <v>4.8974358974358978</v>
      </c>
      <c r="F113" s="32">
        <f>Summary!F192</f>
        <v>4.0222222222222221</v>
      </c>
      <c r="G113" s="32">
        <f>Summary!G192</f>
        <v>5</v>
      </c>
      <c r="H113" s="32">
        <f>Summary!H192</f>
        <v>5</v>
      </c>
      <c r="I113" s="32">
        <f>Summary!I192</f>
        <v>5</v>
      </c>
      <c r="J113" t="s">
        <v>165</v>
      </c>
    </row>
    <row r="114" spans="1:10" x14ac:dyDescent="0.3">
      <c r="A114" t="s">
        <v>81</v>
      </c>
      <c r="B114" s="32">
        <f>Summary!B193</f>
        <v>3</v>
      </c>
      <c r="C114" s="32">
        <f>Summary!C193</f>
        <v>3.7007751937984503</v>
      </c>
      <c r="D114" s="32">
        <f>Summary!D193</f>
        <v>3</v>
      </c>
      <c r="E114" s="32">
        <f>Summary!E193</f>
        <v>3.1538461538461537</v>
      </c>
      <c r="F114" s="32">
        <f>Summary!F193</f>
        <v>0.83111111111111047</v>
      </c>
      <c r="G114" s="32">
        <f>Summary!G193</f>
        <v>5</v>
      </c>
      <c r="H114" s="32">
        <f>Summary!H193</f>
        <v>5</v>
      </c>
      <c r="I114" s="32">
        <f>Summary!I193</f>
        <v>5</v>
      </c>
      <c r="J114" t="s">
        <v>165</v>
      </c>
    </row>
    <row r="115" spans="1:10" x14ac:dyDescent="0.3">
      <c r="A115" t="s">
        <v>150</v>
      </c>
      <c r="B115" s="32">
        <f>Summary!B194</f>
        <v>3</v>
      </c>
      <c r="C115" s="32">
        <f>Summary!C194</f>
        <v>3.7007751937984503</v>
      </c>
      <c r="D115" s="32">
        <f>Summary!D194</f>
        <v>3.6666666666666665</v>
      </c>
      <c r="E115" s="32">
        <f>Summary!E194</f>
        <v>4.8974358974358978</v>
      </c>
      <c r="F115" s="32">
        <f>Summary!F194</f>
        <v>3.8822222222222225</v>
      </c>
      <c r="G115" s="32">
        <f>Summary!G194</f>
        <v>4.666666666666667</v>
      </c>
      <c r="H115" s="32">
        <f>Summary!H194</f>
        <v>5</v>
      </c>
      <c r="I115" s="32">
        <f>Summary!I194</f>
        <v>5</v>
      </c>
      <c r="J115" t="s">
        <v>165</v>
      </c>
    </row>
    <row r="116" spans="1:10" x14ac:dyDescent="0.3">
      <c r="A116" t="s">
        <v>91</v>
      </c>
      <c r="B116" s="32">
        <f>Summary!B194</f>
        <v>3</v>
      </c>
      <c r="C116" s="32">
        <f>Summary!C194</f>
        <v>3.7007751937984503</v>
      </c>
      <c r="D116" s="32">
        <f>Summary!D194</f>
        <v>3.6666666666666665</v>
      </c>
      <c r="E116" s="32">
        <f>Summary!E194</f>
        <v>4.8974358974358978</v>
      </c>
      <c r="F116" s="32">
        <f>Summary!F194</f>
        <v>3.8822222222222225</v>
      </c>
      <c r="G116" s="32">
        <f>Summary!G194</f>
        <v>4.666666666666667</v>
      </c>
      <c r="H116" s="32">
        <f>Summary!H194</f>
        <v>5</v>
      </c>
      <c r="I116" s="32">
        <f>Summary!I194</f>
        <v>5</v>
      </c>
      <c r="J116" t="s">
        <v>165</v>
      </c>
    </row>
    <row r="117" spans="1:10" x14ac:dyDescent="0.3">
      <c r="A117" t="s">
        <v>151</v>
      </c>
      <c r="B117" s="32">
        <f>Summary!B195</f>
        <v>3</v>
      </c>
      <c r="C117" s="32">
        <f>Summary!C195</f>
        <v>3.7007751937984503</v>
      </c>
      <c r="D117" s="32">
        <f>Summary!D195</f>
        <v>3.6666666666666665</v>
      </c>
      <c r="E117" s="32">
        <f>Summary!E195</f>
        <v>3.9743589743589745</v>
      </c>
      <c r="F117" s="32">
        <f>Summary!F195</f>
        <v>2.7199999999999998</v>
      </c>
      <c r="G117" s="32">
        <f>Summary!G195</f>
        <v>5</v>
      </c>
      <c r="H117" s="32">
        <f>Summary!H195</f>
        <v>5</v>
      </c>
      <c r="I117" s="32">
        <f>Summary!I195</f>
        <v>1</v>
      </c>
      <c r="J117" t="s">
        <v>165</v>
      </c>
    </row>
    <row r="118" spans="1:10" x14ac:dyDescent="0.3">
      <c r="A118" t="s">
        <v>89</v>
      </c>
      <c r="B118" s="32">
        <f>Summary!B196</f>
        <v>1</v>
      </c>
      <c r="C118" s="32">
        <f>Summary!C196</f>
        <v>0</v>
      </c>
      <c r="D118" s="32">
        <f>Summary!D196</f>
        <v>4.3333333333333339</v>
      </c>
      <c r="E118" s="32">
        <f>Summary!E196</f>
        <v>4.8974358974358978</v>
      </c>
      <c r="F118" s="32">
        <f>Summary!F196</f>
        <v>3.8177777777777777</v>
      </c>
      <c r="G118" s="32">
        <f>Summary!G196</f>
        <v>1.6666666666666665</v>
      </c>
      <c r="H118" s="32">
        <f>Summary!H196</f>
        <v>5</v>
      </c>
      <c r="I118" s="32">
        <f>Summary!I196</f>
        <v>5</v>
      </c>
      <c r="J118" t="s">
        <v>165</v>
      </c>
    </row>
    <row r="119" spans="1:10" x14ac:dyDescent="0.3">
      <c r="A119" t="s">
        <v>152</v>
      </c>
      <c r="B119" s="32">
        <f>Summary!B197</f>
        <v>2.333333333333333</v>
      </c>
      <c r="C119" s="32">
        <f>Summary!C197</f>
        <v>3.9519379844961247</v>
      </c>
      <c r="D119" s="32">
        <f>Summary!D197</f>
        <v>3</v>
      </c>
      <c r="E119" s="32">
        <f>Summary!E197</f>
        <v>4.8974358974358978</v>
      </c>
      <c r="F119" s="32">
        <f>Summary!F197</f>
        <v>3.0777777777777775</v>
      </c>
      <c r="G119" s="32">
        <f>Summary!G197</f>
        <v>5</v>
      </c>
      <c r="H119" s="32">
        <f>Summary!H197</f>
        <v>5</v>
      </c>
      <c r="I119" s="32">
        <f>Summary!I197</f>
        <v>5</v>
      </c>
      <c r="J119" t="s">
        <v>165</v>
      </c>
    </row>
    <row r="120" spans="1:10" x14ac:dyDescent="0.3">
      <c r="A120" t="s">
        <v>87</v>
      </c>
      <c r="B120" s="32">
        <f>Summary!B198</f>
        <v>1</v>
      </c>
      <c r="C120" s="32">
        <f>Summary!C198</f>
        <v>2.6434108527131785</v>
      </c>
      <c r="D120" s="32">
        <f>Summary!D198</f>
        <v>5</v>
      </c>
      <c r="E120" s="32">
        <f>Summary!E198</f>
        <v>4.8974358974358978</v>
      </c>
      <c r="F120" s="32">
        <f>Summary!F198</f>
        <v>4.6288888888888886</v>
      </c>
      <c r="G120" s="32">
        <f>Summary!G198</f>
        <v>5</v>
      </c>
      <c r="H120" s="32">
        <f>Summary!H198</f>
        <v>5</v>
      </c>
      <c r="I120" s="32">
        <f>Summary!I198</f>
        <v>5</v>
      </c>
      <c r="J120" t="s">
        <v>165</v>
      </c>
    </row>
    <row r="121" spans="1:10" x14ac:dyDescent="0.3">
      <c r="A121" t="s">
        <v>153</v>
      </c>
      <c r="B121" s="32">
        <f>Summary!B199</f>
        <v>3</v>
      </c>
      <c r="C121" s="32">
        <f>Summary!C199</f>
        <v>3.7007751937984503</v>
      </c>
      <c r="D121" s="32">
        <f>Summary!D199</f>
        <v>3.6666666666666665</v>
      </c>
      <c r="E121" s="32">
        <f>Summary!E199</f>
        <v>4.8974358974358978</v>
      </c>
      <c r="F121" s="32">
        <f>Summary!F199</f>
        <v>3.8844444444444441</v>
      </c>
      <c r="G121" s="32">
        <f>Summary!G199</f>
        <v>4.833333333333333</v>
      </c>
      <c r="H121" s="32">
        <f>Summary!H199</f>
        <v>5</v>
      </c>
      <c r="I121" s="32">
        <f>Summary!I199</f>
        <v>5</v>
      </c>
      <c r="J121" t="s">
        <v>165</v>
      </c>
    </row>
    <row r="122" spans="1:10" x14ac:dyDescent="0.3">
      <c r="A122" t="s">
        <v>77</v>
      </c>
      <c r="B122" s="32">
        <f>Summary!B202</f>
        <v>3</v>
      </c>
      <c r="C122" s="32">
        <f>Summary!C202</f>
        <v>3.73030303030303</v>
      </c>
      <c r="D122" s="32">
        <f>Summary!D202</f>
        <v>3.6666666666666665</v>
      </c>
      <c r="E122" s="32">
        <f>Summary!E202</f>
        <v>4.6923076923076925</v>
      </c>
      <c r="F122" s="32">
        <f>Summary!F202</f>
        <v>3.8977777777777778</v>
      </c>
      <c r="G122" s="32">
        <f>Summary!G202</f>
        <v>5</v>
      </c>
      <c r="H122" s="32">
        <f>Summary!H202</f>
        <v>3.666666666666667</v>
      </c>
      <c r="I122" s="32">
        <f>Summary!I202</f>
        <v>5</v>
      </c>
      <c r="J122" t="s">
        <v>166</v>
      </c>
    </row>
    <row r="123" spans="1:10" x14ac:dyDescent="0.3">
      <c r="A123" s="13" t="s">
        <v>79</v>
      </c>
      <c r="B123" s="32">
        <f>Summary!B203</f>
        <v>2.1111111111111107</v>
      </c>
      <c r="C123" s="32">
        <f>Summary!C203</f>
        <v>3.73030303030303</v>
      </c>
      <c r="D123" s="32">
        <f>Summary!D203</f>
        <v>3.6666666666666665</v>
      </c>
      <c r="E123" s="32">
        <f>Summary!E203</f>
        <v>4.8974358974358978</v>
      </c>
      <c r="F123" s="32">
        <f>Summary!F203</f>
        <v>3.9555555555555557</v>
      </c>
      <c r="G123" s="32">
        <f>Summary!G203</f>
        <v>5</v>
      </c>
      <c r="H123" s="32">
        <f>Summary!H203</f>
        <v>5</v>
      </c>
      <c r="I123" s="32">
        <f>Summary!I203</f>
        <v>5</v>
      </c>
      <c r="J123" t="s">
        <v>166</v>
      </c>
    </row>
    <row r="124" spans="1:10" x14ac:dyDescent="0.3">
      <c r="A124" t="s">
        <v>81</v>
      </c>
      <c r="B124" s="32">
        <f>Summary!B204</f>
        <v>3</v>
      </c>
      <c r="C124" s="32">
        <f>Summary!C204</f>
        <v>3.73030303030303</v>
      </c>
      <c r="D124" s="32">
        <f>Summary!D204</f>
        <v>3</v>
      </c>
      <c r="E124" s="32">
        <f>Summary!E204</f>
        <v>4.0769230769230766</v>
      </c>
      <c r="F124" s="32">
        <f>Summary!F204</f>
        <v>2.1644444444444439</v>
      </c>
      <c r="G124" s="32">
        <f>Summary!G204</f>
        <v>5</v>
      </c>
      <c r="H124" s="32">
        <f>Summary!H204</f>
        <v>5</v>
      </c>
      <c r="I124" s="32">
        <f>Summary!I204</f>
        <v>5</v>
      </c>
      <c r="J124" t="s">
        <v>166</v>
      </c>
    </row>
    <row r="125" spans="1:10" x14ac:dyDescent="0.3">
      <c r="A125" t="s">
        <v>150</v>
      </c>
      <c r="B125" s="32">
        <f>Summary!B205</f>
        <v>3</v>
      </c>
      <c r="C125" s="32">
        <f>Summary!C205</f>
        <v>3.73030303030303</v>
      </c>
      <c r="D125" s="32">
        <f>Summary!D205</f>
        <v>4.3333333333333339</v>
      </c>
      <c r="E125" s="32">
        <f>Summary!E205</f>
        <v>4.8974358974358978</v>
      </c>
      <c r="F125" s="32">
        <f>Summary!F205</f>
        <v>4.4000000000000004</v>
      </c>
      <c r="G125" s="32">
        <f>Summary!G205</f>
        <v>4.666666666666667</v>
      </c>
      <c r="H125" s="32">
        <f>Summary!H205</f>
        <v>5</v>
      </c>
      <c r="I125" s="32">
        <f>Summary!I205</f>
        <v>5</v>
      </c>
      <c r="J125" t="s">
        <v>166</v>
      </c>
    </row>
    <row r="126" spans="1:10" x14ac:dyDescent="0.3">
      <c r="A126" t="s">
        <v>91</v>
      </c>
      <c r="B126" s="32">
        <f>Summary!B205</f>
        <v>3</v>
      </c>
      <c r="C126" s="32">
        <f>Summary!C205</f>
        <v>3.73030303030303</v>
      </c>
      <c r="D126" s="32">
        <f>Summary!D205</f>
        <v>4.3333333333333339</v>
      </c>
      <c r="E126" s="32">
        <f>Summary!E205</f>
        <v>4.8974358974358978</v>
      </c>
      <c r="F126" s="32">
        <f>Summary!F205</f>
        <v>4.4000000000000004</v>
      </c>
      <c r="G126" s="32">
        <f>Summary!G205</f>
        <v>4.666666666666667</v>
      </c>
      <c r="H126" s="32">
        <f>Summary!H205</f>
        <v>5</v>
      </c>
      <c r="I126" s="32">
        <f>Summary!I205</f>
        <v>5</v>
      </c>
      <c r="J126" t="s">
        <v>166</v>
      </c>
    </row>
    <row r="127" spans="1:10" x14ac:dyDescent="0.3">
      <c r="A127" t="s">
        <v>151</v>
      </c>
      <c r="B127" s="32">
        <f>Summary!B206</f>
        <v>3</v>
      </c>
      <c r="C127" s="32">
        <f>Summary!C206</f>
        <v>3.73030303030303</v>
      </c>
      <c r="D127" s="32">
        <f>Summary!D206</f>
        <v>3.6666666666666665</v>
      </c>
      <c r="E127" s="32">
        <f>Summary!E206</f>
        <v>4.8974358974358978</v>
      </c>
      <c r="F127" s="32">
        <f>Summary!F206</f>
        <v>4.0533333333333328</v>
      </c>
      <c r="G127" s="32">
        <f>Summary!G206</f>
        <v>5</v>
      </c>
      <c r="H127" s="32">
        <f>Summary!H206</f>
        <v>5</v>
      </c>
      <c r="I127" s="32">
        <f>Summary!I206</f>
        <v>1</v>
      </c>
      <c r="J127" t="s">
        <v>166</v>
      </c>
    </row>
    <row r="128" spans="1:10" x14ac:dyDescent="0.3">
      <c r="A128" t="s">
        <v>89</v>
      </c>
      <c r="B128" s="32">
        <f>Summary!B207</f>
        <v>1</v>
      </c>
      <c r="C128" s="32">
        <f>Summary!C207</f>
        <v>0</v>
      </c>
      <c r="D128" s="32">
        <f>Summary!D207</f>
        <v>4.3333333333333339</v>
      </c>
      <c r="E128" s="32">
        <f>Summary!E207</f>
        <v>4.8974358974358978</v>
      </c>
      <c r="F128" s="32">
        <f>Summary!F207</f>
        <v>3.8177777777777777</v>
      </c>
      <c r="G128" s="32">
        <f>Summary!G207</f>
        <v>1.6666666666666665</v>
      </c>
      <c r="H128" s="32">
        <f>Summary!H207</f>
        <v>5</v>
      </c>
      <c r="I128" s="32">
        <f>Summary!I207</f>
        <v>5</v>
      </c>
      <c r="J128" t="s">
        <v>166</v>
      </c>
    </row>
    <row r="129" spans="1:10" x14ac:dyDescent="0.3">
      <c r="A129" t="s">
        <v>152</v>
      </c>
      <c r="B129" s="32">
        <f>Summary!B208</f>
        <v>2.333333333333333</v>
      </c>
      <c r="C129" s="32">
        <f>Summary!C208</f>
        <v>3.9757575757575752</v>
      </c>
      <c r="D129" s="32">
        <f>Summary!D208</f>
        <v>3</v>
      </c>
      <c r="E129" s="32">
        <f>Summary!E208</f>
        <v>4.8974358974358978</v>
      </c>
      <c r="F129" s="32">
        <f>Summary!F208</f>
        <v>3.0244444444444447</v>
      </c>
      <c r="G129" s="32">
        <f>Summary!G208</f>
        <v>5</v>
      </c>
      <c r="H129" s="32">
        <f>Summary!H208</f>
        <v>5</v>
      </c>
      <c r="I129" s="32">
        <f>Summary!I208</f>
        <v>5</v>
      </c>
      <c r="J129" t="s">
        <v>166</v>
      </c>
    </row>
    <row r="130" spans="1:10" x14ac:dyDescent="0.3">
      <c r="A130" t="s">
        <v>87</v>
      </c>
      <c r="B130" s="32">
        <f>Summary!B209</f>
        <v>1</v>
      </c>
      <c r="C130" s="32">
        <f>Summary!C209</f>
        <v>2.6969696969696964</v>
      </c>
      <c r="D130" s="32">
        <f>Summary!D209</f>
        <v>5</v>
      </c>
      <c r="E130" s="32">
        <f>Summary!E209</f>
        <v>4.8974358974358978</v>
      </c>
      <c r="F130" s="32">
        <f>Summary!F209</f>
        <v>4.6288888888888886</v>
      </c>
      <c r="G130" s="32">
        <f>Summary!G209</f>
        <v>5</v>
      </c>
      <c r="H130" s="32">
        <f>Summary!H209</f>
        <v>5</v>
      </c>
      <c r="I130" s="32">
        <f>Summary!I209</f>
        <v>5</v>
      </c>
      <c r="J130" t="s">
        <v>166</v>
      </c>
    </row>
    <row r="131" spans="1:10" x14ac:dyDescent="0.3">
      <c r="A131" t="s">
        <v>153</v>
      </c>
      <c r="B131" s="32">
        <f>Summary!B210</f>
        <v>3</v>
      </c>
      <c r="C131" s="32">
        <f>Summary!C210</f>
        <v>3.73030303030303</v>
      </c>
      <c r="D131" s="32">
        <f>Summary!D210</f>
        <v>3.6666666666666665</v>
      </c>
      <c r="E131" s="32">
        <f>Summary!E210</f>
        <v>4.8974358974358978</v>
      </c>
      <c r="F131" s="32">
        <f>Summary!F210</f>
        <v>4.0244444444444447</v>
      </c>
      <c r="G131" s="32">
        <f>Summary!G210</f>
        <v>4.833333333333333</v>
      </c>
      <c r="H131" s="32">
        <f>Summary!H210</f>
        <v>5</v>
      </c>
      <c r="I131" s="32">
        <f>Summary!I210</f>
        <v>5</v>
      </c>
      <c r="J131" t="s">
        <v>166</v>
      </c>
    </row>
    <row r="132" spans="1:10" x14ac:dyDescent="0.3">
      <c r="A132" t="s">
        <v>77</v>
      </c>
      <c r="B132" s="32">
        <f>Summary!B213</f>
        <v>3</v>
      </c>
      <c r="C132" s="32">
        <f>Summary!C213</f>
        <v>3.7585185185185228</v>
      </c>
      <c r="D132" s="32">
        <f>Summary!D213</f>
        <v>3.6666666666666665</v>
      </c>
      <c r="E132" s="32">
        <f>Summary!E213</f>
        <v>4.6923076923076925</v>
      </c>
      <c r="F132" s="32">
        <f>Summary!F213</f>
        <v>3.8311111111111109</v>
      </c>
      <c r="G132" s="32">
        <f>Summary!G213</f>
        <v>5</v>
      </c>
      <c r="H132" s="32">
        <f>Summary!H213</f>
        <v>3.666666666666667</v>
      </c>
      <c r="I132" s="32">
        <f>Summary!I213</f>
        <v>5</v>
      </c>
      <c r="J132" t="s">
        <v>167</v>
      </c>
    </row>
    <row r="133" spans="1:10" x14ac:dyDescent="0.3">
      <c r="A133" s="13" t="s">
        <v>79</v>
      </c>
      <c r="B133" s="32">
        <f>Summary!B214</f>
        <v>2.1111111111111107</v>
      </c>
      <c r="C133" s="32">
        <f>Summary!C214</f>
        <v>3.7792592592592635</v>
      </c>
      <c r="D133" s="32">
        <f>Summary!D214</f>
        <v>4.3333333333333339</v>
      </c>
      <c r="E133" s="32">
        <f>Summary!E214</f>
        <v>4.8974358974358978</v>
      </c>
      <c r="F133" s="32">
        <f>Summary!F214</f>
        <v>3.8177777777777777</v>
      </c>
      <c r="G133" s="32">
        <f>Summary!G214</f>
        <v>5</v>
      </c>
      <c r="H133" s="32">
        <f>Summary!H214</f>
        <v>5</v>
      </c>
      <c r="I133" s="32">
        <f>Summary!I214</f>
        <v>5</v>
      </c>
      <c r="J133" t="s">
        <v>167</v>
      </c>
    </row>
    <row r="134" spans="1:10" x14ac:dyDescent="0.3">
      <c r="A134" t="s">
        <v>81</v>
      </c>
      <c r="B134" s="32">
        <f>Summary!B215</f>
        <v>3</v>
      </c>
      <c r="C134" s="32">
        <f>Summary!C215</f>
        <v>3.7585185185185228</v>
      </c>
      <c r="D134" s="32">
        <f>Summary!D215</f>
        <v>3.6666666666666665</v>
      </c>
      <c r="E134" s="32">
        <f>Summary!E215</f>
        <v>4.0769230769230766</v>
      </c>
      <c r="F134" s="32">
        <f>Summary!F215</f>
        <v>2.6622222222222218</v>
      </c>
      <c r="G134" s="32">
        <f>Summary!G215</f>
        <v>5</v>
      </c>
      <c r="H134" s="32">
        <f>Summary!H215</f>
        <v>5</v>
      </c>
      <c r="I134" s="32">
        <f>Summary!I215</f>
        <v>5</v>
      </c>
      <c r="J134" t="s">
        <v>167</v>
      </c>
    </row>
    <row r="135" spans="1:10" x14ac:dyDescent="0.3">
      <c r="A135" t="s">
        <v>150</v>
      </c>
      <c r="B135" s="32">
        <f>Summary!B216</f>
        <v>3</v>
      </c>
      <c r="C135" s="32">
        <f>Summary!C216</f>
        <v>3.7585185185185228</v>
      </c>
      <c r="D135" s="32">
        <f>Summary!D216</f>
        <v>3.6666666666666665</v>
      </c>
      <c r="E135" s="32">
        <f>Summary!E216</f>
        <v>4.8974358974358978</v>
      </c>
      <c r="F135" s="32">
        <f>Summary!F216</f>
        <v>4.3422222222222224</v>
      </c>
      <c r="G135" s="32">
        <f>Summary!G216</f>
        <v>4.666666666666667</v>
      </c>
      <c r="H135" s="32">
        <f>Summary!H216</f>
        <v>5</v>
      </c>
      <c r="I135" s="32">
        <f>Summary!I216</f>
        <v>5</v>
      </c>
      <c r="J135" t="s">
        <v>167</v>
      </c>
    </row>
    <row r="136" spans="1:10" x14ac:dyDescent="0.3">
      <c r="A136" t="s">
        <v>91</v>
      </c>
      <c r="B136" s="32">
        <f>Summary!B216</f>
        <v>3</v>
      </c>
      <c r="C136" s="32">
        <f>Summary!C216</f>
        <v>3.7585185185185228</v>
      </c>
      <c r="D136" s="32">
        <f>Summary!D216</f>
        <v>3.6666666666666665</v>
      </c>
      <c r="E136" s="32">
        <f>Summary!E216</f>
        <v>4.8974358974358978</v>
      </c>
      <c r="F136" s="32">
        <f>Summary!F216</f>
        <v>4.3422222222222224</v>
      </c>
      <c r="G136" s="32">
        <f>Summary!G216</f>
        <v>4.666666666666667</v>
      </c>
      <c r="H136" s="32">
        <f>Summary!H216</f>
        <v>5</v>
      </c>
      <c r="I136" s="32">
        <f>Summary!I216</f>
        <v>5</v>
      </c>
      <c r="J136" t="s">
        <v>167</v>
      </c>
    </row>
    <row r="137" spans="1:10" x14ac:dyDescent="0.3">
      <c r="A137" t="s">
        <v>151</v>
      </c>
      <c r="B137" s="32">
        <f>Summary!B217</f>
        <v>3</v>
      </c>
      <c r="C137" s="32">
        <f>Summary!C217</f>
        <v>3.7585185185185228</v>
      </c>
      <c r="D137" s="32">
        <f>Summary!D217</f>
        <v>4.3333333333333339</v>
      </c>
      <c r="E137" s="32">
        <f>Summary!E217</f>
        <v>4.8974358974358978</v>
      </c>
      <c r="F137" s="32">
        <f>Summary!F217</f>
        <v>4.5511111111111111</v>
      </c>
      <c r="G137" s="32">
        <f>Summary!G217</f>
        <v>5</v>
      </c>
      <c r="H137" s="32">
        <f>Summary!H217</f>
        <v>5</v>
      </c>
      <c r="I137" s="32">
        <f>Summary!I217</f>
        <v>1</v>
      </c>
      <c r="J137" t="s">
        <v>167</v>
      </c>
    </row>
    <row r="138" spans="1:10" x14ac:dyDescent="0.3">
      <c r="A138" t="s">
        <v>89</v>
      </c>
      <c r="B138" s="32">
        <f>Summary!B218</f>
        <v>1</v>
      </c>
      <c r="C138" s="32">
        <f>Summary!C218</f>
        <v>0</v>
      </c>
      <c r="D138" s="32">
        <f>Summary!D218</f>
        <v>4.3333333333333339</v>
      </c>
      <c r="E138" s="32">
        <f>Summary!E218</f>
        <v>4.8974358974358978</v>
      </c>
      <c r="F138" s="32">
        <f>Summary!F218</f>
        <v>3.8177777777777777</v>
      </c>
      <c r="G138" s="32">
        <f>Summary!G218</f>
        <v>1.6666666666666665</v>
      </c>
      <c r="H138" s="32">
        <f>Summary!H218</f>
        <v>5</v>
      </c>
      <c r="I138" s="32">
        <f>Summary!I218</f>
        <v>5</v>
      </c>
      <c r="J138" t="s">
        <v>167</v>
      </c>
    </row>
    <row r="139" spans="1:10" x14ac:dyDescent="0.3">
      <c r="A139" t="s">
        <v>152</v>
      </c>
      <c r="B139" s="32">
        <f>Summary!B219</f>
        <v>2.333333333333333</v>
      </c>
      <c r="C139" s="32">
        <f>Summary!C219</f>
        <v>3.998518518518523</v>
      </c>
      <c r="D139" s="32">
        <f>Summary!D219</f>
        <v>3</v>
      </c>
      <c r="E139" s="32">
        <f>Summary!E219</f>
        <v>4.8974358974358978</v>
      </c>
      <c r="F139" s="32">
        <f>Summary!F219</f>
        <v>2.9133333333333331</v>
      </c>
      <c r="G139" s="32">
        <f>Summary!G219</f>
        <v>5</v>
      </c>
      <c r="H139" s="32">
        <f>Summary!H219</f>
        <v>5</v>
      </c>
      <c r="I139" s="32">
        <f>Summary!I219</f>
        <v>5</v>
      </c>
      <c r="J139" t="s">
        <v>167</v>
      </c>
    </row>
    <row r="140" spans="1:10" x14ac:dyDescent="0.3">
      <c r="A140" t="s">
        <v>87</v>
      </c>
      <c r="B140" s="32">
        <f>Summary!B220</f>
        <v>1</v>
      </c>
      <c r="C140" s="32">
        <f>Summary!C220</f>
        <v>2.748148148148152</v>
      </c>
      <c r="D140" s="32">
        <f>Summary!D220</f>
        <v>5</v>
      </c>
      <c r="E140" s="32">
        <f>Summary!E220</f>
        <v>4.8974358974358978</v>
      </c>
      <c r="F140" s="32">
        <f>Summary!F220</f>
        <v>4.6288888888888886</v>
      </c>
      <c r="G140" s="32">
        <f>Summary!G220</f>
        <v>5</v>
      </c>
      <c r="H140" s="32">
        <f>Summary!H220</f>
        <v>5</v>
      </c>
      <c r="I140" s="32">
        <f>Summary!I220</f>
        <v>5</v>
      </c>
      <c r="J140" t="s">
        <v>167</v>
      </c>
    </row>
    <row r="141" spans="1:10" x14ac:dyDescent="0.3">
      <c r="A141" t="s">
        <v>153</v>
      </c>
      <c r="B141" s="32">
        <f>Summary!B221</f>
        <v>3</v>
      </c>
      <c r="C141" s="32">
        <f>Summary!C221</f>
        <v>3.7585185185185228</v>
      </c>
      <c r="D141" s="32">
        <f>Summary!D221</f>
        <v>3.6666666666666665</v>
      </c>
      <c r="E141" s="32">
        <f>Summary!E221</f>
        <v>4.8974358974358978</v>
      </c>
      <c r="F141" s="32">
        <f>Summary!F221</f>
        <v>3.9666666666666668</v>
      </c>
      <c r="G141" s="32">
        <f>Summary!G221</f>
        <v>4.833333333333333</v>
      </c>
      <c r="H141" s="32">
        <f>Summary!H221</f>
        <v>5</v>
      </c>
      <c r="I141" s="32">
        <f>Summary!I221</f>
        <v>5</v>
      </c>
      <c r="J141" t="s">
        <v>167</v>
      </c>
    </row>
    <row r="142" spans="1:10" x14ac:dyDescent="0.3">
      <c r="A142" t="s">
        <v>77</v>
      </c>
      <c r="B142" s="32">
        <f>Summary!B224</f>
        <v>3</v>
      </c>
      <c r="C142" s="32">
        <f>Summary!C224</f>
        <v>3.0555555555555554</v>
      </c>
      <c r="D142" s="32">
        <f>Summary!D224</f>
        <v>5</v>
      </c>
      <c r="E142" s="32">
        <f>Summary!E224</f>
        <v>4.6923076923076925</v>
      </c>
      <c r="F142" s="32">
        <f>Summary!F224</f>
        <v>4.4733333333333336</v>
      </c>
      <c r="G142" s="32">
        <f>Summary!G224</f>
        <v>5</v>
      </c>
      <c r="H142" s="32">
        <f>Summary!H224</f>
        <v>3.666666666666667</v>
      </c>
      <c r="I142" s="32">
        <f>Summary!I224</f>
        <v>5</v>
      </c>
      <c r="J142" t="s">
        <v>168</v>
      </c>
    </row>
    <row r="143" spans="1:10" x14ac:dyDescent="0.3">
      <c r="A143" s="13" t="s">
        <v>79</v>
      </c>
      <c r="B143" s="32">
        <f>Summary!B225</f>
        <v>2.1111111111111107</v>
      </c>
      <c r="C143" s="32">
        <f>Summary!C225</f>
        <v>3.0555555555555554</v>
      </c>
      <c r="D143" s="32">
        <f>Summary!D225</f>
        <v>5</v>
      </c>
      <c r="E143" s="32">
        <f>Summary!E225</f>
        <v>4.8974358974358978</v>
      </c>
      <c r="F143" s="32">
        <f>Summary!F225</f>
        <v>4.6288888888888886</v>
      </c>
      <c r="G143" s="32">
        <f>Summary!G225</f>
        <v>5</v>
      </c>
      <c r="H143" s="32">
        <f>Summary!H225</f>
        <v>5</v>
      </c>
      <c r="I143" s="32">
        <f>Summary!I225</f>
        <v>5</v>
      </c>
      <c r="J143" t="s">
        <v>168</v>
      </c>
    </row>
    <row r="144" spans="1:10" x14ac:dyDescent="0.3">
      <c r="A144" t="s">
        <v>81</v>
      </c>
      <c r="B144" s="32">
        <f>Summary!B226</f>
        <v>3</v>
      </c>
      <c r="C144" s="32">
        <f>Summary!C226</f>
        <v>3.0555555555555554</v>
      </c>
      <c r="D144" s="32">
        <f>Summary!D226</f>
        <v>4.3333333333333339</v>
      </c>
      <c r="E144" s="32">
        <f>Summary!E226</f>
        <v>4.0769230769230766</v>
      </c>
      <c r="F144" s="32">
        <f>Summary!F226</f>
        <v>2.7399999999999998</v>
      </c>
      <c r="G144" s="32">
        <f>Summary!G226</f>
        <v>5</v>
      </c>
      <c r="H144" s="32">
        <f>Summary!H226</f>
        <v>5</v>
      </c>
      <c r="I144" s="32">
        <f>Summary!I226</f>
        <v>5</v>
      </c>
      <c r="J144" t="s">
        <v>168</v>
      </c>
    </row>
    <row r="145" spans="1:10" x14ac:dyDescent="0.3">
      <c r="A145" t="s">
        <v>150</v>
      </c>
      <c r="B145" s="32">
        <f>Summary!B227</f>
        <v>3</v>
      </c>
      <c r="C145" s="32">
        <f>Summary!C227</f>
        <v>3.7944444444444443</v>
      </c>
      <c r="D145" s="32">
        <f>Summary!D227</f>
        <v>4.3333333333333339</v>
      </c>
      <c r="E145" s="32">
        <f>Summary!E227</f>
        <v>4.8974358974358978</v>
      </c>
      <c r="F145" s="32">
        <f>Summary!F227</f>
        <v>4.1822222222222223</v>
      </c>
      <c r="G145" s="32">
        <f>Summary!G227</f>
        <v>4.666666666666667</v>
      </c>
      <c r="H145" s="32">
        <f>Summary!H227</f>
        <v>5</v>
      </c>
      <c r="I145" s="32">
        <f>Summary!I227</f>
        <v>5</v>
      </c>
      <c r="J145" t="s">
        <v>168</v>
      </c>
    </row>
    <row r="146" spans="1:10" x14ac:dyDescent="0.3">
      <c r="A146" t="s">
        <v>91</v>
      </c>
      <c r="B146" s="32">
        <f>Summary!B227</f>
        <v>3</v>
      </c>
      <c r="C146" s="32">
        <f>Summary!C227</f>
        <v>3.7944444444444443</v>
      </c>
      <c r="D146" s="32">
        <f>Summary!D227</f>
        <v>4.3333333333333339</v>
      </c>
      <c r="E146" s="32">
        <f>Summary!E227</f>
        <v>4.8974358974358978</v>
      </c>
      <c r="F146" s="32">
        <f>Summary!F227</f>
        <v>4.1822222222222223</v>
      </c>
      <c r="G146" s="32">
        <f>Summary!G227</f>
        <v>4.666666666666667</v>
      </c>
      <c r="H146" s="32">
        <f>Summary!H227</f>
        <v>5</v>
      </c>
      <c r="I146" s="32">
        <f>Summary!I227</f>
        <v>5</v>
      </c>
      <c r="J146" t="s">
        <v>168</v>
      </c>
    </row>
    <row r="147" spans="1:10" x14ac:dyDescent="0.3">
      <c r="A147" t="s">
        <v>151</v>
      </c>
      <c r="B147" s="32">
        <f>Summary!B228</f>
        <v>3</v>
      </c>
      <c r="C147" s="32">
        <f>Summary!C228</f>
        <v>3.0555555555555554</v>
      </c>
      <c r="D147" s="32">
        <f>Summary!D228</f>
        <v>5</v>
      </c>
      <c r="E147" s="32">
        <f>Summary!E228</f>
        <v>4.8974358974358978</v>
      </c>
      <c r="F147" s="32">
        <f>Summary!F228</f>
        <v>4.6288888888888886</v>
      </c>
      <c r="G147" s="32">
        <f>Summary!G228</f>
        <v>5</v>
      </c>
      <c r="H147" s="32">
        <f>Summary!H228</f>
        <v>5</v>
      </c>
      <c r="I147" s="32">
        <f>Summary!I228</f>
        <v>1</v>
      </c>
      <c r="J147" t="s">
        <v>168</v>
      </c>
    </row>
    <row r="148" spans="1:10" x14ac:dyDescent="0.3">
      <c r="A148" t="s">
        <v>89</v>
      </c>
      <c r="B148" s="32">
        <f>Summary!B229</f>
        <v>1</v>
      </c>
      <c r="C148" s="32">
        <f>Summary!C229</f>
        <v>0</v>
      </c>
      <c r="D148" s="32">
        <f>Summary!D229</f>
        <v>5</v>
      </c>
      <c r="E148" s="32">
        <f>Summary!E229</f>
        <v>4.8974358974358978</v>
      </c>
      <c r="F148" s="32">
        <f>Summary!F229</f>
        <v>4.6288888888888886</v>
      </c>
      <c r="G148" s="32">
        <f>Summary!G229</f>
        <v>1.6666666666666665</v>
      </c>
      <c r="H148" s="32">
        <f>Summary!H229</f>
        <v>5</v>
      </c>
      <c r="I148" s="32">
        <f>Summary!I229</f>
        <v>5</v>
      </c>
      <c r="J148" t="s">
        <v>168</v>
      </c>
    </row>
    <row r="149" spans="1:10" x14ac:dyDescent="0.3">
      <c r="A149" t="s">
        <v>152</v>
      </c>
      <c r="B149" s="32">
        <f>Summary!B230</f>
        <v>2.333333333333333</v>
      </c>
      <c r="C149" s="32">
        <f>Summary!C230</f>
        <v>3.0694444444444442</v>
      </c>
      <c r="D149" s="32">
        <f>Summary!D230</f>
        <v>4.3333333333333339</v>
      </c>
      <c r="E149" s="32">
        <f>Summary!E230</f>
        <v>4.7948717948717947</v>
      </c>
      <c r="F149" s="32">
        <f>Summary!F230</f>
        <v>3.4844444444444447</v>
      </c>
      <c r="G149" s="32">
        <f>Summary!G230</f>
        <v>5</v>
      </c>
      <c r="H149" s="32">
        <f>Summary!H230</f>
        <v>5</v>
      </c>
      <c r="I149" s="32">
        <f>Summary!I230</f>
        <v>5</v>
      </c>
      <c r="J149" t="s">
        <v>168</v>
      </c>
    </row>
    <row r="150" spans="1:10" x14ac:dyDescent="0.3">
      <c r="A150" t="s">
        <v>87</v>
      </c>
      <c r="B150" s="32">
        <f>Summary!B231</f>
        <v>1</v>
      </c>
      <c r="C150" s="32">
        <f>Summary!C231</f>
        <v>3.0555555555555554</v>
      </c>
      <c r="D150" s="32">
        <f>Summary!D231</f>
        <v>5</v>
      </c>
      <c r="E150" s="32">
        <f>Summary!E231</f>
        <v>4.8974358974358978</v>
      </c>
      <c r="F150" s="32">
        <f>Summary!F231</f>
        <v>4.6288888888888886</v>
      </c>
      <c r="G150" s="32">
        <f>Summary!G231</f>
        <v>5</v>
      </c>
      <c r="H150" s="32">
        <f>Summary!H231</f>
        <v>5</v>
      </c>
      <c r="I150" s="32">
        <f>Summary!I231</f>
        <v>5</v>
      </c>
      <c r="J150" t="s">
        <v>168</v>
      </c>
    </row>
    <row r="151" spans="1:10" x14ac:dyDescent="0.3">
      <c r="A151" t="s">
        <v>153</v>
      </c>
      <c r="B151" s="32">
        <f>Summary!B232</f>
        <v>3</v>
      </c>
      <c r="C151" s="32">
        <f>Summary!C232</f>
        <v>3.8083333333333331</v>
      </c>
      <c r="D151" s="32">
        <f>Summary!D232</f>
        <v>4.3333333333333339</v>
      </c>
      <c r="E151" s="32">
        <f>Summary!E232</f>
        <v>4.8974358974358978</v>
      </c>
      <c r="F151" s="32">
        <f>Summary!F232</f>
        <v>4.1911111111111108</v>
      </c>
      <c r="G151" s="32">
        <f>Summary!G232</f>
        <v>4.833333333333333</v>
      </c>
      <c r="H151" s="32">
        <f>Summary!H232</f>
        <v>5</v>
      </c>
      <c r="I151" s="32">
        <f>Summary!I232</f>
        <v>5</v>
      </c>
      <c r="J151" t="s">
        <v>168</v>
      </c>
    </row>
    <row r="152" spans="1:10" x14ac:dyDescent="0.3">
      <c r="A152" t="s">
        <v>77</v>
      </c>
      <c r="B152" s="32">
        <f>Summary!B235</f>
        <v>3</v>
      </c>
      <c r="C152" s="32">
        <f>Summary!C235</f>
        <v>3.4722222222222219</v>
      </c>
      <c r="D152" s="32">
        <f>Summary!D235</f>
        <v>5</v>
      </c>
      <c r="E152" s="32">
        <f>Summary!E235</f>
        <v>4.6923076923076925</v>
      </c>
      <c r="F152" s="32">
        <f>Summary!F235</f>
        <v>4.4733333333333336</v>
      </c>
      <c r="G152" s="32">
        <f>Summary!G235</f>
        <v>5</v>
      </c>
      <c r="H152" s="32">
        <f>Summary!H235</f>
        <v>3.666666666666667</v>
      </c>
      <c r="I152" s="32">
        <f>Summary!I235</f>
        <v>5</v>
      </c>
      <c r="J152" t="s">
        <v>169</v>
      </c>
    </row>
    <row r="153" spans="1:10" x14ac:dyDescent="0.3">
      <c r="A153" s="13" t="s">
        <v>79</v>
      </c>
      <c r="B153" s="32">
        <f>Summary!B236</f>
        <v>2.1111111111111107</v>
      </c>
      <c r="C153" s="32">
        <f>Summary!C236</f>
        <v>3.4722222222222219</v>
      </c>
      <c r="D153" s="32">
        <f>Summary!D236</f>
        <v>5</v>
      </c>
      <c r="E153" s="32">
        <f>Summary!E236</f>
        <v>4.8974358974358978</v>
      </c>
      <c r="F153" s="32">
        <f>Summary!F236</f>
        <v>4.6288888888888886</v>
      </c>
      <c r="G153" s="32">
        <f>Summary!G236</f>
        <v>5</v>
      </c>
      <c r="H153" s="32">
        <f>Summary!H236</f>
        <v>5</v>
      </c>
      <c r="I153" s="32">
        <f>Summary!I236</f>
        <v>5</v>
      </c>
      <c r="J153" t="s">
        <v>169</v>
      </c>
    </row>
    <row r="154" spans="1:10" x14ac:dyDescent="0.3">
      <c r="A154" t="s">
        <v>81</v>
      </c>
      <c r="B154" s="32">
        <f>Summary!B237</f>
        <v>3</v>
      </c>
      <c r="C154" s="32">
        <f>Summary!C237</f>
        <v>3.4722222222222219</v>
      </c>
      <c r="D154" s="32">
        <f>Summary!D237</f>
        <v>4.3333333333333339</v>
      </c>
      <c r="E154" s="32">
        <f>Summary!E237</f>
        <v>4.0769230769230766</v>
      </c>
      <c r="F154" s="32">
        <f>Summary!F237</f>
        <v>2.7399999999999998</v>
      </c>
      <c r="G154" s="32">
        <f>Summary!G237</f>
        <v>5</v>
      </c>
      <c r="H154" s="32">
        <f>Summary!H237</f>
        <v>5</v>
      </c>
      <c r="I154" s="32">
        <f>Summary!I237</f>
        <v>5</v>
      </c>
      <c r="J154" t="s">
        <v>169</v>
      </c>
    </row>
    <row r="155" spans="1:10" x14ac:dyDescent="0.3">
      <c r="A155" t="s">
        <v>150</v>
      </c>
      <c r="B155" s="32">
        <f>Summary!B238</f>
        <v>3</v>
      </c>
      <c r="C155" s="32">
        <f>Summary!C238</f>
        <v>3.4722222222222219</v>
      </c>
      <c r="D155" s="32">
        <f>Summary!D238</f>
        <v>5</v>
      </c>
      <c r="E155" s="32">
        <f>Summary!E238</f>
        <v>4.8974358974358978</v>
      </c>
      <c r="F155" s="32">
        <f>Summary!F238</f>
        <v>4.6288888888888886</v>
      </c>
      <c r="G155" s="32">
        <f>Summary!G238</f>
        <v>4.666666666666667</v>
      </c>
      <c r="H155" s="32">
        <f>Summary!H238</f>
        <v>5</v>
      </c>
      <c r="I155" s="32">
        <f>Summary!I238</f>
        <v>5</v>
      </c>
      <c r="J155" t="s">
        <v>169</v>
      </c>
    </row>
    <row r="156" spans="1:10" x14ac:dyDescent="0.3">
      <c r="A156" t="s">
        <v>91</v>
      </c>
      <c r="B156" s="32">
        <f>Summary!B238</f>
        <v>3</v>
      </c>
      <c r="C156" s="32">
        <f>Summary!C238</f>
        <v>3.4722222222222219</v>
      </c>
      <c r="D156" s="32">
        <f>Summary!D238</f>
        <v>5</v>
      </c>
      <c r="E156" s="32">
        <f>Summary!E238</f>
        <v>4.8974358974358978</v>
      </c>
      <c r="F156" s="32">
        <f>Summary!F238</f>
        <v>4.6288888888888886</v>
      </c>
      <c r="G156" s="32">
        <f>Summary!G238</f>
        <v>4.666666666666667</v>
      </c>
      <c r="H156" s="32">
        <f>Summary!H238</f>
        <v>5</v>
      </c>
      <c r="I156" s="32">
        <f>Summary!I238</f>
        <v>5</v>
      </c>
      <c r="J156" t="s">
        <v>169</v>
      </c>
    </row>
    <row r="157" spans="1:10" x14ac:dyDescent="0.3">
      <c r="A157" t="s">
        <v>151</v>
      </c>
      <c r="B157" s="32">
        <f>Summary!B239</f>
        <v>3</v>
      </c>
      <c r="C157" s="32">
        <f>Summary!C239</f>
        <v>3.4722222222222219</v>
      </c>
      <c r="D157" s="32">
        <f>Summary!D239</f>
        <v>5</v>
      </c>
      <c r="E157" s="32">
        <f>Summary!E239</f>
        <v>4.8974358974358978</v>
      </c>
      <c r="F157" s="32">
        <f>Summary!F239</f>
        <v>4.6288888888888886</v>
      </c>
      <c r="G157" s="32">
        <f>Summary!G239</f>
        <v>5</v>
      </c>
      <c r="H157" s="32">
        <f>Summary!H239</f>
        <v>5</v>
      </c>
      <c r="I157" s="32">
        <f>Summary!I239</f>
        <v>1</v>
      </c>
      <c r="J157" t="s">
        <v>169</v>
      </c>
    </row>
    <row r="158" spans="1:10" x14ac:dyDescent="0.3">
      <c r="A158" t="s">
        <v>89</v>
      </c>
      <c r="B158" s="32">
        <f>Summary!B240</f>
        <v>1</v>
      </c>
      <c r="C158" s="32">
        <f>Summary!C240</f>
        <v>0</v>
      </c>
      <c r="D158" s="32">
        <f>Summary!D240</f>
        <v>5</v>
      </c>
      <c r="E158" s="32">
        <f>Summary!E240</f>
        <v>4.8974358974358978</v>
      </c>
      <c r="F158" s="32">
        <f>Summary!F240</f>
        <v>4.6288888888888886</v>
      </c>
      <c r="G158" s="32">
        <f>Summary!G240</f>
        <v>1.6666666666666665</v>
      </c>
      <c r="H158" s="32">
        <f>Summary!H240</f>
        <v>5</v>
      </c>
      <c r="I158" s="32">
        <f>Summary!I240</f>
        <v>5</v>
      </c>
      <c r="J158" t="s">
        <v>169</v>
      </c>
    </row>
    <row r="159" spans="1:10" x14ac:dyDescent="0.3">
      <c r="A159" t="s">
        <v>152</v>
      </c>
      <c r="B159" s="32">
        <f>Summary!B241</f>
        <v>2.333333333333333</v>
      </c>
      <c r="C159" s="32">
        <f>Summary!C241</f>
        <v>3.3944444444444444</v>
      </c>
      <c r="D159" s="32">
        <f>Summary!D241</f>
        <v>4.3333333333333339</v>
      </c>
      <c r="E159" s="32">
        <f>Summary!E241</f>
        <v>4.6923076923076925</v>
      </c>
      <c r="F159" s="32">
        <f>Summary!F241</f>
        <v>2.7399999999999998</v>
      </c>
      <c r="G159" s="32">
        <f>Summary!G241</f>
        <v>5</v>
      </c>
      <c r="H159" s="32">
        <f>Summary!H241</f>
        <v>5</v>
      </c>
      <c r="I159" s="32">
        <f>Summary!I241</f>
        <v>5</v>
      </c>
      <c r="J159" t="s">
        <v>169</v>
      </c>
    </row>
    <row r="160" spans="1:10" x14ac:dyDescent="0.3">
      <c r="A160" t="s">
        <v>87</v>
      </c>
      <c r="B160" s="32">
        <f>Summary!B242</f>
        <v>1</v>
      </c>
      <c r="C160" s="32">
        <f>Summary!C242</f>
        <v>3.4722222222222219</v>
      </c>
      <c r="D160" s="32">
        <f>Summary!D242</f>
        <v>5</v>
      </c>
      <c r="E160" s="32">
        <f>Summary!E242</f>
        <v>4.8974358974358978</v>
      </c>
      <c r="F160" s="32">
        <f>Summary!F242</f>
        <v>4.6288888888888886</v>
      </c>
      <c r="G160" s="32">
        <f>Summary!G242</f>
        <v>5</v>
      </c>
      <c r="H160" s="32">
        <f>Summary!H242</f>
        <v>5</v>
      </c>
      <c r="I160" s="32">
        <f>Summary!I242</f>
        <v>5</v>
      </c>
      <c r="J160" t="s">
        <v>169</v>
      </c>
    </row>
    <row r="161" spans="1:10" x14ac:dyDescent="0.3">
      <c r="A161" t="s">
        <v>153</v>
      </c>
      <c r="B161" s="32">
        <f>Summary!B243</f>
        <v>3</v>
      </c>
      <c r="C161" s="32">
        <f>Summary!C243</f>
        <v>3.4722222222222219</v>
      </c>
      <c r="D161" s="32">
        <f>Summary!D243</f>
        <v>5</v>
      </c>
      <c r="E161" s="32">
        <f>Summary!E243</f>
        <v>4.8974358974358978</v>
      </c>
      <c r="F161" s="32">
        <f>Summary!F243</f>
        <v>4.6288888888888886</v>
      </c>
      <c r="G161" s="32">
        <f>Summary!G243</f>
        <v>4.833333333333333</v>
      </c>
      <c r="H161" s="32">
        <f>Summary!H243</f>
        <v>5</v>
      </c>
      <c r="I161" s="32">
        <f>Summary!I243</f>
        <v>5</v>
      </c>
      <c r="J161" t="s">
        <v>169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F1D2-0B6A-45EF-AE87-338C691CA1C9}">
  <dimension ref="A1:M161"/>
  <sheetViews>
    <sheetView workbookViewId="0">
      <selection activeCell="M11" sqref="M11"/>
    </sheetView>
  </sheetViews>
  <sheetFormatPr defaultRowHeight="14.4" x14ac:dyDescent="0.3"/>
  <cols>
    <col min="1" max="1" width="20" customWidth="1"/>
    <col min="2" max="2" width="18" customWidth="1"/>
    <col min="3" max="3" width="17.33203125" customWidth="1"/>
    <col min="4" max="4" width="17.6640625" customWidth="1"/>
    <col min="5" max="5" width="17.33203125" customWidth="1"/>
    <col min="6" max="7" width="17.5546875" customWidth="1"/>
    <col min="8" max="8" width="18.109375" customWidth="1"/>
    <col min="9" max="9" width="19" customWidth="1"/>
    <col min="10" max="10" width="18.109375" customWidth="1"/>
  </cols>
  <sheetData>
    <row r="1" spans="1:13" x14ac:dyDescent="0.3">
      <c r="A1" s="1"/>
      <c r="B1" t="s">
        <v>170</v>
      </c>
      <c r="C1" t="s">
        <v>171</v>
      </c>
      <c r="D1" t="s">
        <v>172</v>
      </c>
      <c r="E1" t="s">
        <v>173</v>
      </c>
      <c r="F1" t="s">
        <v>174</v>
      </c>
      <c r="G1" t="s">
        <v>175</v>
      </c>
      <c r="H1" t="s">
        <v>176</v>
      </c>
      <c r="I1" t="s">
        <v>177</v>
      </c>
      <c r="J1" t="s">
        <v>148</v>
      </c>
    </row>
    <row r="2" spans="1:13" x14ac:dyDescent="0.3">
      <c r="A2" t="s">
        <v>122</v>
      </c>
      <c r="B2" s="32">
        <f>Summary!B69</f>
        <v>2.1111111111111107</v>
      </c>
      <c r="C2" s="32">
        <f>Summary!C69</f>
        <v>4.4039057239057247</v>
      </c>
      <c r="D2" s="32">
        <f>Summary!D69</f>
        <v>4.155555555555555</v>
      </c>
      <c r="E2" s="32">
        <f>Summary!E69</f>
        <v>4.7880341880341888</v>
      </c>
      <c r="F2" s="32">
        <f>Summary!F69</f>
        <v>4.1920000000000002</v>
      </c>
      <c r="G2" s="32">
        <f>Summary!G69</f>
        <v>5</v>
      </c>
      <c r="H2" s="32">
        <f>Summary!H69</f>
        <v>5</v>
      </c>
      <c r="I2" s="32">
        <f>Summary!I69</f>
        <v>5</v>
      </c>
      <c r="J2" t="s">
        <v>149</v>
      </c>
    </row>
    <row r="3" spans="1:13" x14ac:dyDescent="0.3">
      <c r="A3" t="s">
        <v>123</v>
      </c>
      <c r="B3" s="32">
        <f>Summary!B70</f>
        <v>3</v>
      </c>
      <c r="C3" s="32">
        <f>Summary!C70</f>
        <v>4.7807783955520256</v>
      </c>
      <c r="D3" s="32">
        <f>Summary!D70</f>
        <v>3.7555555555555555</v>
      </c>
      <c r="E3" s="32">
        <f>Summary!E70</f>
        <v>4.528205128205129</v>
      </c>
      <c r="F3" s="32">
        <f>Summary!F70</f>
        <v>3.7897777777777777</v>
      </c>
      <c r="G3" s="32">
        <f>Summary!G70</f>
        <v>5</v>
      </c>
      <c r="H3" s="32">
        <f>Summary!H70</f>
        <v>3.666666666666667</v>
      </c>
      <c r="I3" s="32">
        <f>Summary!I70</f>
        <v>5</v>
      </c>
      <c r="J3" t="s">
        <v>149</v>
      </c>
    </row>
    <row r="4" spans="1:13" x14ac:dyDescent="0.3">
      <c r="A4" s="13" t="s">
        <v>124</v>
      </c>
      <c r="B4" s="32">
        <f>Summary!B71</f>
        <v>2.1111111111111107</v>
      </c>
      <c r="C4" s="32">
        <f>Summary!C71</f>
        <v>4.005559968228753</v>
      </c>
      <c r="D4" s="32">
        <f>Summary!D71</f>
        <v>3.9777777777777783</v>
      </c>
      <c r="E4" s="32">
        <f>Summary!E71</f>
        <v>4.747008547008547</v>
      </c>
      <c r="F4" s="32">
        <f>Summary!F71</f>
        <v>4.0832592592592594</v>
      </c>
      <c r="G4" s="32">
        <f>Summary!G71</f>
        <v>5</v>
      </c>
      <c r="H4" s="32">
        <f>Summary!H71</f>
        <v>5</v>
      </c>
      <c r="I4" s="32">
        <f>Summary!I71</f>
        <v>5</v>
      </c>
      <c r="J4" t="s">
        <v>149</v>
      </c>
      <c r="M4" s="13"/>
    </row>
    <row r="5" spans="1:13" x14ac:dyDescent="0.3">
      <c r="A5" t="s">
        <v>125</v>
      </c>
      <c r="B5" s="32">
        <f>Summary!B72</f>
        <v>3</v>
      </c>
      <c r="C5" s="32">
        <f>Summary!C72</f>
        <v>4.7701879798782105</v>
      </c>
      <c r="D5" s="32">
        <f>Summary!D72</f>
        <v>3.1333333333333333</v>
      </c>
      <c r="E5" s="32">
        <f>Summary!E72</f>
        <v>4.1042735042735048</v>
      </c>
      <c r="F5" s="32">
        <f>Summary!F72</f>
        <v>2.8364444444444441</v>
      </c>
      <c r="G5" s="32">
        <f>Summary!G72</f>
        <v>5</v>
      </c>
      <c r="H5" s="32">
        <f>Summary!H72</f>
        <v>5</v>
      </c>
      <c r="I5" s="32">
        <f>Summary!I72</f>
        <v>5</v>
      </c>
      <c r="J5" t="s">
        <v>149</v>
      </c>
    </row>
    <row r="6" spans="1:13" x14ac:dyDescent="0.3">
      <c r="A6" t="s">
        <v>126</v>
      </c>
      <c r="B6" s="32">
        <f>Summary!B73</f>
        <v>3</v>
      </c>
      <c r="C6" s="32">
        <f>Summary!C73</f>
        <v>5</v>
      </c>
      <c r="D6" s="32">
        <f>Summary!D73</f>
        <v>3.8888888888888888</v>
      </c>
      <c r="E6" s="32">
        <f>Summary!E73</f>
        <v>4.6444444444444439</v>
      </c>
      <c r="F6" s="32">
        <f>Summary!F73</f>
        <v>4.1207407407407404</v>
      </c>
      <c r="G6" s="32">
        <f>Summary!G73</f>
        <v>4.666666666666667</v>
      </c>
      <c r="H6" s="32">
        <f>Summary!H73</f>
        <v>5</v>
      </c>
      <c r="I6" s="32">
        <f>Summary!I73</f>
        <v>5</v>
      </c>
      <c r="J6" t="s">
        <v>149</v>
      </c>
    </row>
    <row r="7" spans="1:13" x14ac:dyDescent="0.3">
      <c r="A7" t="s">
        <v>127</v>
      </c>
      <c r="B7" s="32">
        <f>Summary!B74</f>
        <v>3</v>
      </c>
      <c r="C7" s="32">
        <f>Summary!C74</f>
        <v>4.751654752449034</v>
      </c>
      <c r="D7" s="32">
        <f>Summary!D74</f>
        <v>3.666666666666667</v>
      </c>
      <c r="E7" s="32">
        <f>Summary!E74</f>
        <v>4.6786324786324789</v>
      </c>
      <c r="F7" s="32">
        <f>Summary!F74</f>
        <v>3.8485925925925928</v>
      </c>
      <c r="G7" s="32">
        <f>Summary!G74</f>
        <v>5</v>
      </c>
      <c r="H7" s="32">
        <f>Summary!H74</f>
        <v>5</v>
      </c>
      <c r="I7" s="32">
        <f>Summary!I74</f>
        <v>1</v>
      </c>
      <c r="J7" t="s">
        <v>149</v>
      </c>
    </row>
    <row r="8" spans="1:13" x14ac:dyDescent="0.3">
      <c r="A8" t="s">
        <v>128</v>
      </c>
      <c r="B8" s="32">
        <f>Summary!B75</f>
        <v>1</v>
      </c>
      <c r="C8" s="32">
        <f>Summary!C75</f>
        <v>0</v>
      </c>
      <c r="D8" s="32">
        <f>Summary!D75</f>
        <v>4.5111111111111111</v>
      </c>
      <c r="E8" s="32">
        <f>Summary!E75</f>
        <v>4.8427350427350433</v>
      </c>
      <c r="F8" s="32">
        <f>Summary!F75</f>
        <v>4.1410370370370364</v>
      </c>
      <c r="G8" s="32">
        <f>Summary!G75</f>
        <v>1.6666666666666665</v>
      </c>
      <c r="H8" s="32">
        <f>Summary!H75</f>
        <v>5</v>
      </c>
      <c r="I8" s="32">
        <f>Summary!I75</f>
        <v>5</v>
      </c>
      <c r="J8" t="s">
        <v>149</v>
      </c>
    </row>
    <row r="9" spans="1:13" x14ac:dyDescent="0.3">
      <c r="A9" t="s">
        <v>129</v>
      </c>
      <c r="B9" s="32">
        <f>Summary!B76</f>
        <v>2.333333333333333</v>
      </c>
      <c r="C9" s="32">
        <f>Summary!C76</f>
        <v>4.6049774953666933</v>
      </c>
      <c r="D9" s="32">
        <f>Summary!D76</f>
        <v>3.4</v>
      </c>
      <c r="E9" s="32">
        <f>Summary!E76</f>
        <v>4.7059829059829061</v>
      </c>
      <c r="F9" s="32">
        <f>Summary!F76</f>
        <v>3.0297777777777779</v>
      </c>
      <c r="G9" s="32">
        <f>Summary!G76</f>
        <v>5</v>
      </c>
      <c r="H9" s="32">
        <f>Summary!H76</f>
        <v>5</v>
      </c>
      <c r="I9" s="32">
        <f>Summary!I76</f>
        <v>5</v>
      </c>
      <c r="J9" t="s">
        <v>149</v>
      </c>
    </row>
    <row r="10" spans="1:13" x14ac:dyDescent="0.3">
      <c r="A10" t="s">
        <v>130</v>
      </c>
      <c r="B10" s="32">
        <f>Summary!B77</f>
        <v>1</v>
      </c>
      <c r="C10" s="32">
        <f>Summary!C77</f>
        <v>1</v>
      </c>
      <c r="D10" s="32">
        <f>Summary!D77</f>
        <v>5</v>
      </c>
      <c r="E10" s="32">
        <f>Summary!E77</f>
        <v>4.8974358974358978</v>
      </c>
      <c r="F10" s="32">
        <f>Summary!F77</f>
        <v>4.6288888888888886</v>
      </c>
      <c r="G10" s="32">
        <f>Summary!G77</f>
        <v>5</v>
      </c>
      <c r="H10" s="32">
        <f>Summary!H77</f>
        <v>5</v>
      </c>
      <c r="I10" s="32">
        <f>Summary!I77</f>
        <v>5</v>
      </c>
      <c r="J10" t="s">
        <v>149</v>
      </c>
    </row>
    <row r="11" spans="1:13" x14ac:dyDescent="0.3">
      <c r="A11" t="s">
        <v>131</v>
      </c>
      <c r="B11" s="32">
        <f>Summary!B78</f>
        <v>3</v>
      </c>
      <c r="C11" s="32">
        <f>Summary!C78</f>
        <v>4.8845644691554142</v>
      </c>
      <c r="D11" s="32">
        <f>Summary!D78</f>
        <v>3.5777777777777779</v>
      </c>
      <c r="E11" s="32">
        <f>Summary!E78</f>
        <v>4.6923076923076925</v>
      </c>
      <c r="F11" s="32">
        <f>Summary!F78</f>
        <v>3.8522962962962963</v>
      </c>
      <c r="G11" s="32">
        <f>Summary!G78</f>
        <v>4.833333333333333</v>
      </c>
      <c r="H11" s="32">
        <f>Summary!H78</f>
        <v>5</v>
      </c>
      <c r="I11" s="32">
        <f>Summary!I78</f>
        <v>5</v>
      </c>
      <c r="J11" t="s">
        <v>149</v>
      </c>
    </row>
    <row r="12" spans="1:13" x14ac:dyDescent="0.3">
      <c r="A12" t="s">
        <v>122</v>
      </c>
      <c r="B12" s="32">
        <f>Summary!B83</f>
        <v>3</v>
      </c>
      <c r="C12" s="32">
        <f>Summary!C83</f>
        <v>5</v>
      </c>
      <c r="D12" s="32">
        <f>Summary!D83</f>
        <v>4.3333333333333339</v>
      </c>
      <c r="E12" s="32">
        <f>Summary!E83</f>
        <v>4.4871794871794872</v>
      </c>
      <c r="F12" s="32">
        <f>Summary!F83</f>
        <v>4.5733333333333333</v>
      </c>
      <c r="G12" s="32">
        <f>Summary!G83</f>
        <v>5</v>
      </c>
      <c r="H12" s="32">
        <f>Summary!H83</f>
        <v>5</v>
      </c>
      <c r="I12" s="32">
        <f>Summary!I83</f>
        <v>5</v>
      </c>
      <c r="J12" t="s">
        <v>154</v>
      </c>
    </row>
    <row r="13" spans="1:13" x14ac:dyDescent="0.3">
      <c r="A13" t="s">
        <v>123</v>
      </c>
      <c r="B13" s="32">
        <f>Summary!B81</f>
        <v>3</v>
      </c>
      <c r="C13" s="32">
        <f>Summary!C81</f>
        <v>5</v>
      </c>
      <c r="D13" s="32">
        <f>Summary!D81</f>
        <v>4.3333333333333339</v>
      </c>
      <c r="E13" s="32">
        <f>Summary!E81</f>
        <v>4.2820512820512819</v>
      </c>
      <c r="F13" s="32">
        <f>Summary!F81</f>
        <v>4.097777777777778</v>
      </c>
      <c r="G13" s="32">
        <f>Summary!G81</f>
        <v>5</v>
      </c>
      <c r="H13" s="32">
        <f>Summary!H81</f>
        <v>3.666666666666667</v>
      </c>
      <c r="I13" s="32">
        <f>Summary!I81</f>
        <v>5</v>
      </c>
      <c r="J13" t="s">
        <v>154</v>
      </c>
    </row>
    <row r="14" spans="1:13" x14ac:dyDescent="0.3">
      <c r="A14" s="13" t="s">
        <v>124</v>
      </c>
      <c r="B14" s="32">
        <f>Summary!B82</f>
        <v>2.1111111111111107</v>
      </c>
      <c r="C14" s="32">
        <f>Summary!C82</f>
        <v>5</v>
      </c>
      <c r="D14" s="32">
        <f>Summary!D82</f>
        <v>3.6666666666666665</v>
      </c>
      <c r="E14" s="32">
        <f>Summary!E82</f>
        <v>4.2820512820512819</v>
      </c>
      <c r="F14" s="32">
        <f>Summary!F82</f>
        <v>3.8844444444444441</v>
      </c>
      <c r="G14" s="32">
        <f>Summary!G82</f>
        <v>5</v>
      </c>
      <c r="H14" s="32">
        <f>Summary!H82</f>
        <v>5</v>
      </c>
      <c r="I14" s="32">
        <f>Summary!I82</f>
        <v>5</v>
      </c>
      <c r="J14" t="s">
        <v>154</v>
      </c>
    </row>
    <row r="15" spans="1:13" x14ac:dyDescent="0.3">
      <c r="A15" t="s">
        <v>125</v>
      </c>
      <c r="B15" s="32">
        <f>Summary!B83</f>
        <v>3</v>
      </c>
      <c r="C15" s="32">
        <f>Summary!C83</f>
        <v>5</v>
      </c>
      <c r="D15" s="32">
        <f>Summary!D83</f>
        <v>4.3333333333333339</v>
      </c>
      <c r="E15" s="32">
        <f>Summary!E83</f>
        <v>4.4871794871794872</v>
      </c>
      <c r="F15" s="32">
        <f>Summary!F83</f>
        <v>4.5733333333333333</v>
      </c>
      <c r="G15" s="32">
        <f>Summary!G83</f>
        <v>5</v>
      </c>
      <c r="H15" s="32">
        <f>Summary!H83</f>
        <v>5</v>
      </c>
      <c r="I15" s="32">
        <f>Summary!I83</f>
        <v>5</v>
      </c>
      <c r="J15" t="s">
        <v>154</v>
      </c>
    </row>
    <row r="16" spans="1:13" x14ac:dyDescent="0.3">
      <c r="A16" t="s">
        <v>126</v>
      </c>
      <c r="B16" s="32">
        <f>Summary!B84</f>
        <v>3</v>
      </c>
      <c r="C16" s="32">
        <f>Summary!C84</f>
        <v>5</v>
      </c>
      <c r="D16" s="32">
        <f>Summary!D84</f>
        <v>5</v>
      </c>
      <c r="E16" s="32">
        <f>Summary!E84</f>
        <v>4.6923076923076925</v>
      </c>
      <c r="F16" s="32">
        <f>Summary!F84</f>
        <v>4.8444444444444441</v>
      </c>
      <c r="G16" s="32">
        <f>Summary!G84</f>
        <v>4.666666666666667</v>
      </c>
      <c r="H16" s="32">
        <f>Summary!H84</f>
        <v>5</v>
      </c>
      <c r="I16" s="32">
        <f>Summary!I84</f>
        <v>5</v>
      </c>
      <c r="J16" t="s">
        <v>154</v>
      </c>
    </row>
    <row r="17" spans="1:10" x14ac:dyDescent="0.3">
      <c r="A17" t="s">
        <v>127</v>
      </c>
      <c r="B17" s="32">
        <f>Summary!B85</f>
        <v>3</v>
      </c>
      <c r="C17" s="32">
        <f>Summary!C85</f>
        <v>5</v>
      </c>
      <c r="D17" s="32">
        <f>Summary!D85</f>
        <v>4.3333333333333339</v>
      </c>
      <c r="E17" s="32">
        <f>Summary!E85</f>
        <v>4.4871794871794872</v>
      </c>
      <c r="F17" s="32">
        <f>Summary!F85</f>
        <v>4.5844444444444443</v>
      </c>
      <c r="G17" s="32">
        <f>Summary!G85</f>
        <v>5</v>
      </c>
      <c r="H17" s="32">
        <f>Summary!H85</f>
        <v>5</v>
      </c>
      <c r="I17" s="32">
        <f>Summary!I85</f>
        <v>1</v>
      </c>
      <c r="J17" t="s">
        <v>154</v>
      </c>
    </row>
    <row r="18" spans="1:10" x14ac:dyDescent="0.3">
      <c r="A18" t="s">
        <v>128</v>
      </c>
      <c r="B18" s="32">
        <f>Summary!B86</f>
        <v>1</v>
      </c>
      <c r="C18" s="32">
        <f>Summary!C86</f>
        <v>0</v>
      </c>
      <c r="D18" s="32">
        <f>Summary!D86</f>
        <v>5</v>
      </c>
      <c r="E18" s="32">
        <f>Summary!E86</f>
        <v>4.6923076923076925</v>
      </c>
      <c r="F18" s="32">
        <f>Summary!F86</f>
        <v>4.528888888888889</v>
      </c>
      <c r="G18" s="32">
        <f>Summary!G86</f>
        <v>1.6666666666666665</v>
      </c>
      <c r="H18" s="32">
        <f>Summary!H86</f>
        <v>5</v>
      </c>
      <c r="I18" s="32">
        <f>Summary!I86</f>
        <v>5</v>
      </c>
      <c r="J18" t="s">
        <v>154</v>
      </c>
    </row>
    <row r="19" spans="1:10" x14ac:dyDescent="0.3">
      <c r="A19" t="s">
        <v>129</v>
      </c>
      <c r="B19" s="32">
        <f>Summary!B87</f>
        <v>2.333333333333333</v>
      </c>
      <c r="C19" s="32">
        <f>Summary!C87</f>
        <v>5</v>
      </c>
      <c r="D19" s="32">
        <f>Summary!D87</f>
        <v>3</v>
      </c>
      <c r="E19" s="32">
        <f>Summary!E87</f>
        <v>4.2820512820512819</v>
      </c>
      <c r="F19" s="32">
        <f>Summary!F87</f>
        <v>3.108888888888889</v>
      </c>
      <c r="G19" s="32">
        <f>Summary!G87</f>
        <v>5</v>
      </c>
      <c r="H19" s="32">
        <f>Summary!H87</f>
        <v>5</v>
      </c>
      <c r="I19" s="32">
        <f>Summary!I87</f>
        <v>5</v>
      </c>
      <c r="J19" t="s">
        <v>154</v>
      </c>
    </row>
    <row r="20" spans="1:10" x14ac:dyDescent="0.3">
      <c r="A20" t="s">
        <v>130</v>
      </c>
      <c r="B20" s="32">
        <f>Summary!B88</f>
        <v>1</v>
      </c>
      <c r="C20" s="32">
        <f>Summary!C88</f>
        <v>1.9292929292929288</v>
      </c>
      <c r="D20" s="32">
        <f>Summary!D88</f>
        <v>5</v>
      </c>
      <c r="E20" s="32">
        <f>Summary!E88</f>
        <v>4.8974358974358978</v>
      </c>
      <c r="F20" s="32">
        <f>Summary!F88</f>
        <v>4.6288888888888886</v>
      </c>
      <c r="G20" s="32">
        <f>Summary!G88</f>
        <v>5</v>
      </c>
      <c r="H20" s="32">
        <f>Summary!H88</f>
        <v>5</v>
      </c>
      <c r="I20" s="32">
        <f>Summary!I88</f>
        <v>5</v>
      </c>
      <c r="J20" t="s">
        <v>154</v>
      </c>
    </row>
    <row r="21" spans="1:10" x14ac:dyDescent="0.3">
      <c r="A21" t="s">
        <v>131</v>
      </c>
      <c r="B21" s="32">
        <f>Summary!B89</f>
        <v>3</v>
      </c>
      <c r="C21" s="32">
        <f>Summary!C89</f>
        <v>5</v>
      </c>
      <c r="D21" s="32">
        <f>Summary!D89</f>
        <v>4.3333333333333339</v>
      </c>
      <c r="E21" s="32">
        <f>Summary!E89</f>
        <v>4.2820512820512819</v>
      </c>
      <c r="F21" s="32">
        <f>Summary!F89</f>
        <v>4.275555555555556</v>
      </c>
      <c r="G21" s="32">
        <f>Summary!G89</f>
        <v>4.833333333333333</v>
      </c>
      <c r="H21" s="32">
        <f>Summary!H89</f>
        <v>5</v>
      </c>
      <c r="I21" s="32">
        <f>Summary!I89</f>
        <v>5</v>
      </c>
      <c r="J21" t="s">
        <v>154</v>
      </c>
    </row>
    <row r="22" spans="1:10" x14ac:dyDescent="0.3">
      <c r="A22" t="s">
        <v>122</v>
      </c>
      <c r="B22" s="32">
        <f>Summary!B94</f>
        <v>3</v>
      </c>
      <c r="C22" s="32">
        <f>Summary!C94</f>
        <v>5</v>
      </c>
      <c r="D22" s="32">
        <f>Summary!D94</f>
        <v>4.3333333333333339</v>
      </c>
      <c r="E22" s="32">
        <f>Summary!E94</f>
        <v>4.2820512820512819</v>
      </c>
      <c r="F22" s="32">
        <f>Summary!F94</f>
        <v>4.1777777777777771</v>
      </c>
      <c r="G22" s="32">
        <f>Summary!G94</f>
        <v>5</v>
      </c>
      <c r="H22" s="32">
        <f>Summary!H94</f>
        <v>5</v>
      </c>
      <c r="I22" s="32">
        <f>Summary!I94</f>
        <v>5</v>
      </c>
      <c r="J22" t="s">
        <v>155</v>
      </c>
    </row>
    <row r="23" spans="1:10" x14ac:dyDescent="0.3">
      <c r="A23" t="s">
        <v>123</v>
      </c>
      <c r="B23" s="32">
        <f>Summary!B92</f>
        <v>3</v>
      </c>
      <c r="C23" s="32">
        <f>Summary!C92</f>
        <v>5</v>
      </c>
      <c r="D23" s="32">
        <f>Summary!D92</f>
        <v>4.3333333333333339</v>
      </c>
      <c r="E23" s="32">
        <f>Summary!E92</f>
        <v>4.2820512820512819</v>
      </c>
      <c r="F23" s="32">
        <f>Summary!F92</f>
        <v>4.097777777777778</v>
      </c>
      <c r="G23" s="32">
        <f>Summary!G92</f>
        <v>5</v>
      </c>
      <c r="H23" s="32">
        <f>Summary!H92</f>
        <v>3.666666666666667</v>
      </c>
      <c r="I23" s="32">
        <f>Summary!I92</f>
        <v>5</v>
      </c>
      <c r="J23" t="s">
        <v>155</v>
      </c>
    </row>
    <row r="24" spans="1:10" x14ac:dyDescent="0.3">
      <c r="A24" s="13" t="s">
        <v>124</v>
      </c>
      <c r="B24" s="32">
        <f>Summary!B93</f>
        <v>2.1111111111111107</v>
      </c>
      <c r="C24" s="32">
        <f>Summary!C93</f>
        <v>5</v>
      </c>
      <c r="D24" s="32">
        <f>Summary!D93</f>
        <v>2.333333333333333</v>
      </c>
      <c r="E24" s="32">
        <f>Summary!E93</f>
        <v>4.1794871794871797</v>
      </c>
      <c r="F24" s="32">
        <f>Summary!F93</f>
        <v>3.6311111111111112</v>
      </c>
      <c r="G24" s="32">
        <f>Summary!G93</f>
        <v>5</v>
      </c>
      <c r="H24" s="32">
        <f>Summary!H93</f>
        <v>5</v>
      </c>
      <c r="I24" s="32">
        <f>Summary!I93</f>
        <v>5</v>
      </c>
      <c r="J24" t="s">
        <v>155</v>
      </c>
    </row>
    <row r="25" spans="1:10" x14ac:dyDescent="0.3">
      <c r="A25" t="s">
        <v>125</v>
      </c>
      <c r="B25" s="32">
        <f>Summary!B94</f>
        <v>3</v>
      </c>
      <c r="C25" s="32">
        <f>Summary!C94</f>
        <v>5</v>
      </c>
      <c r="D25" s="32">
        <f>Summary!D94</f>
        <v>4.3333333333333339</v>
      </c>
      <c r="E25" s="32">
        <f>Summary!E94</f>
        <v>4.2820512820512819</v>
      </c>
      <c r="F25" s="32">
        <f>Summary!F94</f>
        <v>4.1777777777777771</v>
      </c>
      <c r="G25" s="32">
        <f>Summary!G94</f>
        <v>5</v>
      </c>
      <c r="H25" s="32">
        <f>Summary!H94</f>
        <v>5</v>
      </c>
      <c r="I25" s="32">
        <f>Summary!I94</f>
        <v>5</v>
      </c>
      <c r="J25" t="s">
        <v>155</v>
      </c>
    </row>
    <row r="26" spans="1:10" x14ac:dyDescent="0.3">
      <c r="A26" t="s">
        <v>126</v>
      </c>
      <c r="B26" s="32">
        <f>Summary!B95</f>
        <v>3</v>
      </c>
      <c r="C26" s="32">
        <f>Summary!C95</f>
        <v>5</v>
      </c>
      <c r="D26" s="32">
        <f>Summary!D95</f>
        <v>5</v>
      </c>
      <c r="E26" s="32">
        <f>Summary!E95</f>
        <v>4.4871794871794872</v>
      </c>
      <c r="F26" s="32">
        <f>Summary!F95</f>
        <v>4.66</v>
      </c>
      <c r="G26" s="32">
        <f>Summary!G95</f>
        <v>4.666666666666667</v>
      </c>
      <c r="H26" s="32">
        <f>Summary!H95</f>
        <v>5</v>
      </c>
      <c r="I26" s="32">
        <f>Summary!I95</f>
        <v>5</v>
      </c>
      <c r="J26" t="s">
        <v>155</v>
      </c>
    </row>
    <row r="27" spans="1:10" x14ac:dyDescent="0.3">
      <c r="A27" t="s">
        <v>127</v>
      </c>
      <c r="B27" s="32">
        <f>Summary!B96</f>
        <v>3</v>
      </c>
      <c r="C27" s="32">
        <f>Summary!C96</f>
        <v>5</v>
      </c>
      <c r="D27" s="32">
        <f>Summary!D96</f>
        <v>4.3333333333333339</v>
      </c>
      <c r="E27" s="32">
        <f>Summary!E96</f>
        <v>4.2820512820512819</v>
      </c>
      <c r="F27" s="32">
        <f>Summary!F96</f>
        <v>4.18</v>
      </c>
      <c r="G27" s="32">
        <f>Summary!G96</f>
        <v>5</v>
      </c>
      <c r="H27" s="32">
        <f>Summary!H96</f>
        <v>5</v>
      </c>
      <c r="I27" s="32">
        <f>Summary!I96</f>
        <v>1</v>
      </c>
      <c r="J27" t="s">
        <v>155</v>
      </c>
    </row>
    <row r="28" spans="1:10" x14ac:dyDescent="0.3">
      <c r="A28" t="s">
        <v>128</v>
      </c>
      <c r="B28" s="32">
        <f>Summary!B97</f>
        <v>1</v>
      </c>
      <c r="C28" s="32">
        <f>Summary!C97</f>
        <v>0</v>
      </c>
      <c r="D28" s="32">
        <f>Summary!D97</f>
        <v>5</v>
      </c>
      <c r="E28" s="32">
        <f>Summary!E97</f>
        <v>4.6923076923076925</v>
      </c>
      <c r="F28" s="32">
        <f>Summary!F97</f>
        <v>4.4155555555555557</v>
      </c>
      <c r="G28" s="32">
        <f>Summary!G97</f>
        <v>1.6666666666666665</v>
      </c>
      <c r="H28" s="32">
        <f>Summary!H97</f>
        <v>5</v>
      </c>
      <c r="I28" s="32">
        <f>Summary!I97</f>
        <v>5</v>
      </c>
      <c r="J28" t="s">
        <v>155</v>
      </c>
    </row>
    <row r="29" spans="1:10" x14ac:dyDescent="0.3">
      <c r="A29" t="s">
        <v>129</v>
      </c>
      <c r="B29" s="32">
        <f>Summary!B98</f>
        <v>2.333333333333333</v>
      </c>
      <c r="C29" s="32">
        <f>Summary!C98</f>
        <v>5</v>
      </c>
      <c r="D29" s="32">
        <f>Summary!D98</f>
        <v>3.6666666666666665</v>
      </c>
      <c r="E29" s="32">
        <f>Summary!E98</f>
        <v>4.2820512820512819</v>
      </c>
      <c r="F29" s="32">
        <f>Summary!F98</f>
        <v>3.0177777777777774</v>
      </c>
      <c r="G29" s="32">
        <f>Summary!G98</f>
        <v>5</v>
      </c>
      <c r="H29" s="32">
        <f>Summary!H98</f>
        <v>5</v>
      </c>
      <c r="I29" s="32">
        <f>Summary!I98</f>
        <v>5</v>
      </c>
      <c r="J29" t="s">
        <v>155</v>
      </c>
    </row>
    <row r="30" spans="1:10" x14ac:dyDescent="0.3">
      <c r="A30" t="s">
        <v>130</v>
      </c>
      <c r="B30" s="32">
        <f>Summary!B99</f>
        <v>1</v>
      </c>
      <c r="C30" s="32">
        <f>Summary!C99</f>
        <v>2.0196078431372548</v>
      </c>
      <c r="D30" s="32">
        <f>Summary!D99</f>
        <v>5</v>
      </c>
      <c r="E30" s="32">
        <f>Summary!E99</f>
        <v>4.8974358974358978</v>
      </c>
      <c r="F30" s="32">
        <f>Summary!F99</f>
        <v>4.6288888888888886</v>
      </c>
      <c r="G30" s="32">
        <f>Summary!G99</f>
        <v>5</v>
      </c>
      <c r="H30" s="32">
        <f>Summary!H99</f>
        <v>5</v>
      </c>
      <c r="I30" s="32">
        <f>Summary!I99</f>
        <v>5</v>
      </c>
      <c r="J30" t="s">
        <v>155</v>
      </c>
    </row>
    <row r="31" spans="1:10" x14ac:dyDescent="0.3">
      <c r="A31" t="s">
        <v>131</v>
      </c>
      <c r="B31" s="32">
        <f>Summary!B100</f>
        <v>3</v>
      </c>
      <c r="C31" s="32">
        <f>Summary!C100</f>
        <v>5</v>
      </c>
      <c r="D31" s="32">
        <f>Summary!D100</f>
        <v>4.3333333333333339</v>
      </c>
      <c r="E31" s="32">
        <f>Summary!E100</f>
        <v>4.2820512820512819</v>
      </c>
      <c r="F31" s="32">
        <f>Summary!F100</f>
        <v>4.1111111111111107</v>
      </c>
      <c r="G31" s="32">
        <f>Summary!G100</f>
        <v>4.833333333333333</v>
      </c>
      <c r="H31" s="32">
        <f>Summary!H100</f>
        <v>5</v>
      </c>
      <c r="I31" s="32">
        <f>Summary!I100</f>
        <v>5</v>
      </c>
      <c r="J31" t="s">
        <v>155</v>
      </c>
    </row>
    <row r="32" spans="1:10" x14ac:dyDescent="0.3">
      <c r="A32" t="s">
        <v>122</v>
      </c>
      <c r="B32" s="32">
        <f>Summary!B105</f>
        <v>3</v>
      </c>
      <c r="C32" s="32">
        <f>Summary!C105</f>
        <v>4.9238095238095241</v>
      </c>
      <c r="D32" s="32">
        <f>Summary!D105</f>
        <v>2.333333333333333</v>
      </c>
      <c r="E32" s="32">
        <f>Summary!E105</f>
        <v>4.2820512820512819</v>
      </c>
      <c r="F32" s="32">
        <f>Summary!F105</f>
        <v>3.7555555555555555</v>
      </c>
      <c r="G32" s="32">
        <f>Summary!G105</f>
        <v>5</v>
      </c>
      <c r="H32" s="32">
        <f>Summary!H105</f>
        <v>5</v>
      </c>
      <c r="I32" s="32">
        <f>Summary!I105</f>
        <v>5</v>
      </c>
      <c r="J32" t="s">
        <v>157</v>
      </c>
    </row>
    <row r="33" spans="1:10" x14ac:dyDescent="0.3">
      <c r="A33" t="s">
        <v>123</v>
      </c>
      <c r="B33" s="32">
        <f>Summary!B103</f>
        <v>3</v>
      </c>
      <c r="C33" s="32">
        <f>Summary!C103</f>
        <v>5</v>
      </c>
      <c r="D33" s="32">
        <f>Summary!D103</f>
        <v>3</v>
      </c>
      <c r="E33" s="32">
        <f>Summary!E103</f>
        <v>4.2820512820512819</v>
      </c>
      <c r="F33" s="32">
        <f>Summary!F103</f>
        <v>3.9444444444444446</v>
      </c>
      <c r="G33" s="32">
        <f>Summary!G103</f>
        <v>5</v>
      </c>
      <c r="H33" s="32">
        <f>Summary!H103</f>
        <v>3.666666666666667</v>
      </c>
      <c r="I33" s="32">
        <f>Summary!I103</f>
        <v>5</v>
      </c>
      <c r="J33" t="s">
        <v>157</v>
      </c>
    </row>
    <row r="34" spans="1:10" x14ac:dyDescent="0.3">
      <c r="A34" s="13" t="s">
        <v>124</v>
      </c>
      <c r="B34" s="32">
        <f>Summary!B104</f>
        <v>2.1111111111111107</v>
      </c>
      <c r="C34" s="32">
        <f>Summary!C104</f>
        <v>4.92</v>
      </c>
      <c r="D34" s="32">
        <f>Summary!D104</f>
        <v>2.333333333333333</v>
      </c>
      <c r="E34" s="32">
        <f>Summary!E104</f>
        <v>3.9743589743589745</v>
      </c>
      <c r="F34" s="32">
        <f>Summary!F104</f>
        <v>3.3600000000000003</v>
      </c>
      <c r="G34" s="32">
        <f>Summary!G104</f>
        <v>5</v>
      </c>
      <c r="H34" s="32">
        <f>Summary!H104</f>
        <v>5</v>
      </c>
      <c r="I34" s="32">
        <f>Summary!I104</f>
        <v>5</v>
      </c>
      <c r="J34" t="s">
        <v>157</v>
      </c>
    </row>
    <row r="35" spans="1:10" x14ac:dyDescent="0.3">
      <c r="A35" t="s">
        <v>125</v>
      </c>
      <c r="B35" s="32">
        <f>Summary!B105</f>
        <v>3</v>
      </c>
      <c r="C35" s="32">
        <f>Summary!C105</f>
        <v>4.9238095238095241</v>
      </c>
      <c r="D35" s="32">
        <f>Summary!D105</f>
        <v>2.333333333333333</v>
      </c>
      <c r="E35" s="32">
        <f>Summary!E105</f>
        <v>4.2820512820512819</v>
      </c>
      <c r="F35" s="32">
        <f>Summary!F105</f>
        <v>3.7555555555555555</v>
      </c>
      <c r="G35" s="32">
        <f>Summary!G105</f>
        <v>5</v>
      </c>
      <c r="H35" s="32">
        <f>Summary!H105</f>
        <v>5</v>
      </c>
      <c r="I35" s="32">
        <f>Summary!I105</f>
        <v>5</v>
      </c>
      <c r="J35" t="s">
        <v>157</v>
      </c>
    </row>
    <row r="36" spans="1:10" x14ac:dyDescent="0.3">
      <c r="A36" t="s">
        <v>126</v>
      </c>
      <c r="B36" s="32">
        <f>Summary!B106</f>
        <v>3</v>
      </c>
      <c r="C36" s="32">
        <f>Summary!C106</f>
        <v>5</v>
      </c>
      <c r="D36" s="32">
        <f>Summary!D106</f>
        <v>3.6666666666666665</v>
      </c>
      <c r="E36" s="32">
        <f>Summary!E106</f>
        <v>4.4871794871794872</v>
      </c>
      <c r="F36" s="32">
        <f>Summary!F106</f>
        <v>4.2377777777777776</v>
      </c>
      <c r="G36" s="32">
        <f>Summary!G106</f>
        <v>4.666666666666667</v>
      </c>
      <c r="H36" s="32">
        <f>Summary!H106</f>
        <v>5</v>
      </c>
      <c r="I36" s="32">
        <f>Summary!I106</f>
        <v>5</v>
      </c>
      <c r="J36" t="s">
        <v>157</v>
      </c>
    </row>
    <row r="37" spans="1:10" x14ac:dyDescent="0.3">
      <c r="A37" t="s">
        <v>127</v>
      </c>
      <c r="B37" s="32">
        <f>Summary!B107</f>
        <v>3</v>
      </c>
      <c r="C37" s="32">
        <f>Summary!C107</f>
        <v>5</v>
      </c>
      <c r="D37" s="32">
        <f>Summary!D107</f>
        <v>2.333333333333333</v>
      </c>
      <c r="E37" s="32">
        <f>Summary!E107</f>
        <v>4.2820512820512819</v>
      </c>
      <c r="F37" s="32">
        <f>Summary!F107</f>
        <v>3.7555555555555555</v>
      </c>
      <c r="G37" s="32">
        <f>Summary!G107</f>
        <v>5</v>
      </c>
      <c r="H37" s="32">
        <f>Summary!H107</f>
        <v>5</v>
      </c>
      <c r="I37" s="32">
        <f>Summary!I107</f>
        <v>1</v>
      </c>
      <c r="J37" t="s">
        <v>157</v>
      </c>
    </row>
    <row r="38" spans="1:10" x14ac:dyDescent="0.3">
      <c r="A38" t="s">
        <v>128</v>
      </c>
      <c r="B38" s="32">
        <f>Summary!B108</f>
        <v>1</v>
      </c>
      <c r="C38" s="32">
        <f>Summary!C108</f>
        <v>0</v>
      </c>
      <c r="D38" s="32">
        <f>Summary!D108</f>
        <v>4.3333333333333339</v>
      </c>
      <c r="E38" s="32">
        <f>Summary!E108</f>
        <v>4.6923076923076925</v>
      </c>
      <c r="F38" s="32">
        <f>Summary!F108</f>
        <v>4.3377777777777773</v>
      </c>
      <c r="G38" s="32">
        <f>Summary!G108</f>
        <v>1.6666666666666665</v>
      </c>
      <c r="H38" s="32">
        <f>Summary!H108</f>
        <v>5</v>
      </c>
      <c r="I38" s="32">
        <f>Summary!I108</f>
        <v>5</v>
      </c>
      <c r="J38" t="s">
        <v>157</v>
      </c>
    </row>
    <row r="39" spans="1:10" x14ac:dyDescent="0.3">
      <c r="A39" t="s">
        <v>129</v>
      </c>
      <c r="B39" s="32">
        <f>Summary!B109</f>
        <v>2.333333333333333</v>
      </c>
      <c r="C39" s="32">
        <f>Summary!C109</f>
        <v>5</v>
      </c>
      <c r="D39" s="32">
        <f>Summary!D109</f>
        <v>2.333333333333333</v>
      </c>
      <c r="E39" s="32">
        <f>Summary!E109</f>
        <v>4.2820512820512819</v>
      </c>
      <c r="F39" s="32">
        <f>Summary!F109</f>
        <v>2.753333333333333</v>
      </c>
      <c r="G39" s="32">
        <f>Summary!G109</f>
        <v>5</v>
      </c>
      <c r="H39" s="32">
        <f>Summary!H109</f>
        <v>5</v>
      </c>
      <c r="I39" s="32">
        <f>Summary!I109</f>
        <v>5</v>
      </c>
      <c r="J39" t="s">
        <v>157</v>
      </c>
    </row>
    <row r="40" spans="1:10" x14ac:dyDescent="0.3">
      <c r="A40" t="s">
        <v>130</v>
      </c>
      <c r="B40" s="32">
        <f>Summary!B110</f>
        <v>1</v>
      </c>
      <c r="C40" s="32">
        <f>Summary!C110</f>
        <v>2.1047619047619044</v>
      </c>
      <c r="D40" s="32">
        <f>Summary!D110</f>
        <v>5</v>
      </c>
      <c r="E40" s="32">
        <f>Summary!E110</f>
        <v>4.8974358974358978</v>
      </c>
      <c r="F40" s="32">
        <f>Summary!F110</f>
        <v>4.6288888888888886</v>
      </c>
      <c r="G40" s="32">
        <f>Summary!G110</f>
        <v>5</v>
      </c>
      <c r="H40" s="32">
        <f>Summary!H110</f>
        <v>5</v>
      </c>
      <c r="I40" s="32">
        <f>Summary!I110</f>
        <v>5</v>
      </c>
      <c r="J40" t="s">
        <v>157</v>
      </c>
    </row>
    <row r="41" spans="1:10" x14ac:dyDescent="0.3">
      <c r="A41" t="s">
        <v>131</v>
      </c>
      <c r="B41" s="32">
        <f>Summary!B111</f>
        <v>3</v>
      </c>
      <c r="C41" s="32">
        <f>Summary!C111</f>
        <v>5</v>
      </c>
      <c r="D41" s="32">
        <f>Summary!D111</f>
        <v>2.333333333333333</v>
      </c>
      <c r="E41" s="32">
        <f>Summary!E111</f>
        <v>4.1794871794871797</v>
      </c>
      <c r="F41" s="32">
        <f>Summary!F111</f>
        <v>3.695555555555555</v>
      </c>
      <c r="G41" s="32">
        <f>Summary!G111</f>
        <v>4.833333333333333</v>
      </c>
      <c r="H41" s="32">
        <f>Summary!H111</f>
        <v>5</v>
      </c>
      <c r="I41" s="32">
        <f>Summary!I111</f>
        <v>5</v>
      </c>
      <c r="J41" t="s">
        <v>157</v>
      </c>
    </row>
    <row r="42" spans="1:10" x14ac:dyDescent="0.3">
      <c r="A42" t="s">
        <v>122</v>
      </c>
      <c r="B42" s="32">
        <f>Summary!B115</f>
        <v>2.1111111111111107</v>
      </c>
      <c r="C42" s="32">
        <f>Summary!C115</f>
        <v>3.4481481481481482</v>
      </c>
      <c r="D42" s="32">
        <f>Summary!D115</f>
        <v>4.3333333333333339</v>
      </c>
      <c r="E42" s="32">
        <f>Summary!E115</f>
        <v>4.8974358974358978</v>
      </c>
      <c r="F42" s="32">
        <f>Summary!F115</f>
        <v>4.166666666666667</v>
      </c>
      <c r="G42" s="32">
        <f>Summary!G115</f>
        <v>5</v>
      </c>
      <c r="H42" s="32">
        <f>Summary!H115</f>
        <v>5</v>
      </c>
      <c r="I42" s="32">
        <f>Summary!I115</f>
        <v>5</v>
      </c>
      <c r="J42" t="s">
        <v>158</v>
      </c>
    </row>
    <row r="43" spans="1:10" x14ac:dyDescent="0.3">
      <c r="A43" t="s">
        <v>123</v>
      </c>
      <c r="B43" s="32">
        <f>Summary!B114</f>
        <v>3</v>
      </c>
      <c r="C43" s="32">
        <f>Summary!C114</f>
        <v>4.9740740740740739</v>
      </c>
      <c r="D43" s="32">
        <f>Summary!D114</f>
        <v>3</v>
      </c>
      <c r="E43" s="32">
        <f>Summary!E114</f>
        <v>4.1794871794871797</v>
      </c>
      <c r="F43" s="32">
        <f>Summary!F114</f>
        <v>3.6777777777777776</v>
      </c>
      <c r="G43" s="32">
        <f>Summary!G114</f>
        <v>5</v>
      </c>
      <c r="H43" s="32">
        <f>Summary!H114</f>
        <v>3.666666666666667</v>
      </c>
      <c r="I43" s="32">
        <f>Summary!I114</f>
        <v>5</v>
      </c>
      <c r="J43" t="s">
        <v>158</v>
      </c>
    </row>
    <row r="44" spans="1:10" x14ac:dyDescent="0.3">
      <c r="A44" s="13" t="s">
        <v>124</v>
      </c>
      <c r="B44" s="32">
        <f>Summary!B115</f>
        <v>2.1111111111111107</v>
      </c>
      <c r="C44" s="32">
        <f>Summary!C115</f>
        <v>3.4481481481481482</v>
      </c>
      <c r="D44" s="32">
        <f>Summary!D115</f>
        <v>4.3333333333333339</v>
      </c>
      <c r="E44" s="32">
        <f>Summary!E115</f>
        <v>4.8974358974358978</v>
      </c>
      <c r="F44" s="32">
        <f>Summary!F115</f>
        <v>4.166666666666667</v>
      </c>
      <c r="G44" s="32">
        <f>Summary!G115</f>
        <v>5</v>
      </c>
      <c r="H44" s="32">
        <f>Summary!H115</f>
        <v>5</v>
      </c>
      <c r="I44" s="32">
        <f>Summary!I115</f>
        <v>5</v>
      </c>
      <c r="J44" t="s">
        <v>158</v>
      </c>
    </row>
    <row r="45" spans="1:10" x14ac:dyDescent="0.3">
      <c r="A45" t="s">
        <v>125</v>
      </c>
      <c r="B45" s="32">
        <f>Summary!B116</f>
        <v>3</v>
      </c>
      <c r="C45" s="32">
        <f>Summary!C116</f>
        <v>4.9740740740740739</v>
      </c>
      <c r="D45" s="32">
        <f>Summary!D116</f>
        <v>2.333333333333333</v>
      </c>
      <c r="E45" s="32">
        <f>Summary!E116</f>
        <v>4.1794871794871797</v>
      </c>
      <c r="F45" s="32">
        <f>Summary!F116</f>
        <v>3.4888888888888889</v>
      </c>
      <c r="G45" s="32">
        <f>Summary!G116</f>
        <v>5</v>
      </c>
      <c r="H45" s="32">
        <f>Summary!H116</f>
        <v>5</v>
      </c>
      <c r="I45" s="32">
        <f>Summary!I116</f>
        <v>5</v>
      </c>
      <c r="J45" t="s">
        <v>158</v>
      </c>
    </row>
    <row r="46" spans="1:10" x14ac:dyDescent="0.3">
      <c r="A46" t="s">
        <v>126</v>
      </c>
      <c r="B46" s="32">
        <f>Summary!B117</f>
        <v>3</v>
      </c>
      <c r="C46" s="32">
        <f>Summary!C117</f>
        <v>5</v>
      </c>
      <c r="D46" s="32">
        <f>Summary!D117</f>
        <v>3.6666666666666665</v>
      </c>
      <c r="E46" s="32">
        <f>Summary!E117</f>
        <v>4.2820512820512819</v>
      </c>
      <c r="F46" s="32">
        <f>Summary!F117</f>
        <v>3.8688888888888888</v>
      </c>
      <c r="G46" s="32">
        <f>Summary!G117</f>
        <v>4.666666666666667</v>
      </c>
      <c r="H46" s="32">
        <f>Summary!H117</f>
        <v>5</v>
      </c>
      <c r="I46" s="32">
        <f>Summary!I117</f>
        <v>5</v>
      </c>
      <c r="J46" t="s">
        <v>158</v>
      </c>
    </row>
    <row r="47" spans="1:10" x14ac:dyDescent="0.3">
      <c r="A47" t="s">
        <v>127</v>
      </c>
      <c r="B47" s="32">
        <f>Summary!B118</f>
        <v>3</v>
      </c>
      <c r="C47" s="32">
        <f>Summary!C118</f>
        <v>4.9740740740740739</v>
      </c>
      <c r="D47" s="32">
        <f>Summary!D118</f>
        <v>2.333333333333333</v>
      </c>
      <c r="E47" s="32">
        <f>Summary!E118</f>
        <v>4.1794871794871797</v>
      </c>
      <c r="F47" s="32">
        <f>Summary!F118</f>
        <v>3.4888888888888889</v>
      </c>
      <c r="G47" s="32">
        <f>Summary!G118</f>
        <v>5</v>
      </c>
      <c r="H47" s="32">
        <f>Summary!H118</f>
        <v>5</v>
      </c>
      <c r="I47" s="32">
        <f>Summary!I118</f>
        <v>1</v>
      </c>
      <c r="J47" t="s">
        <v>158</v>
      </c>
    </row>
    <row r="48" spans="1:10" x14ac:dyDescent="0.3">
      <c r="A48" t="s">
        <v>128</v>
      </c>
      <c r="B48" s="32">
        <f>Summary!B119</f>
        <v>1</v>
      </c>
      <c r="C48" s="32">
        <f>Summary!C119</f>
        <v>0</v>
      </c>
      <c r="D48" s="32">
        <f>Summary!D119</f>
        <v>4.3333333333333339</v>
      </c>
      <c r="E48" s="32">
        <f>Summary!E119</f>
        <v>4.6923076923076925</v>
      </c>
      <c r="F48" s="32">
        <f>Summary!F119</f>
        <v>4.1866666666666665</v>
      </c>
      <c r="G48" s="32">
        <f>Summary!G119</f>
        <v>1.6666666666666665</v>
      </c>
      <c r="H48" s="32">
        <f>Summary!H119</f>
        <v>5</v>
      </c>
      <c r="I48" s="32">
        <f>Summary!I119</f>
        <v>5</v>
      </c>
      <c r="J48" t="s">
        <v>158</v>
      </c>
    </row>
    <row r="49" spans="1:10" x14ac:dyDescent="0.3">
      <c r="A49" t="s">
        <v>129</v>
      </c>
      <c r="B49" s="32">
        <f>Summary!B120</f>
        <v>2.333333333333333</v>
      </c>
      <c r="C49" s="32">
        <f>Summary!C120</f>
        <v>4.9740740740740739</v>
      </c>
      <c r="D49" s="32">
        <f>Summary!D120</f>
        <v>2.333333333333333</v>
      </c>
      <c r="E49" s="32">
        <f>Summary!E120</f>
        <v>4.1794871794871797</v>
      </c>
      <c r="F49" s="32">
        <f>Summary!F120</f>
        <v>2.5844444444444443</v>
      </c>
      <c r="G49" s="32">
        <f>Summary!G120</f>
        <v>5</v>
      </c>
      <c r="H49" s="32">
        <f>Summary!H120</f>
        <v>5</v>
      </c>
      <c r="I49" s="32">
        <f>Summary!I120</f>
        <v>5</v>
      </c>
      <c r="J49" t="s">
        <v>158</v>
      </c>
    </row>
    <row r="50" spans="1:10" x14ac:dyDescent="0.3">
      <c r="A50" t="s">
        <v>130</v>
      </c>
      <c r="B50" s="32">
        <f>Summary!B121</f>
        <v>1</v>
      </c>
      <c r="C50" s="32">
        <f>Summary!C121</f>
        <v>2.1851851851851847</v>
      </c>
      <c r="D50" s="32">
        <f>Summary!D121</f>
        <v>5</v>
      </c>
      <c r="E50" s="32">
        <f>Summary!E121</f>
        <v>4.8974358974358978</v>
      </c>
      <c r="F50" s="32">
        <f>Summary!F121</f>
        <v>4.6288888888888886</v>
      </c>
      <c r="G50" s="32">
        <f>Summary!G121</f>
        <v>5</v>
      </c>
      <c r="H50" s="32">
        <f>Summary!H121</f>
        <v>5</v>
      </c>
      <c r="I50" s="32">
        <f>Summary!I121</f>
        <v>5</v>
      </c>
      <c r="J50" t="s">
        <v>158</v>
      </c>
    </row>
    <row r="51" spans="1:10" x14ac:dyDescent="0.3">
      <c r="A51" t="s">
        <v>131</v>
      </c>
      <c r="B51" s="32">
        <f>Summary!B122</f>
        <v>3</v>
      </c>
      <c r="C51" s="32">
        <f>Summary!C122</f>
        <v>4.9407407407407415</v>
      </c>
      <c r="D51" s="32">
        <f>Summary!D122</f>
        <v>2.333333333333333</v>
      </c>
      <c r="E51" s="32">
        <f>Summary!E122</f>
        <v>3.9743589743589745</v>
      </c>
      <c r="F51" s="32">
        <f>Summary!F122</f>
        <v>3.4955555555555557</v>
      </c>
      <c r="G51" s="32">
        <f>Summary!G122</f>
        <v>4.833333333333333</v>
      </c>
      <c r="H51" s="32">
        <f>Summary!H122</f>
        <v>5</v>
      </c>
      <c r="I51" s="32">
        <f>Summary!I122</f>
        <v>5</v>
      </c>
      <c r="J51" t="s">
        <v>158</v>
      </c>
    </row>
    <row r="52" spans="1:10" x14ac:dyDescent="0.3">
      <c r="A52" t="s">
        <v>122</v>
      </c>
      <c r="B52" s="32">
        <f>Summary!B126</f>
        <v>2.1111111111111107</v>
      </c>
      <c r="C52" s="32">
        <f>Summary!C126</f>
        <v>3.49009009009009</v>
      </c>
      <c r="D52" s="32">
        <f>Summary!D126</f>
        <v>4.3333333333333339</v>
      </c>
      <c r="E52" s="32">
        <f>Summary!E126</f>
        <v>4.8974358974358978</v>
      </c>
      <c r="F52" s="32">
        <f>Summary!F126</f>
        <v>4.166666666666667</v>
      </c>
      <c r="G52" s="32">
        <f>Summary!G126</f>
        <v>5</v>
      </c>
      <c r="H52" s="32">
        <f>Summary!H126</f>
        <v>5</v>
      </c>
      <c r="I52" s="32">
        <f>Summary!I126</f>
        <v>5</v>
      </c>
      <c r="J52" t="s">
        <v>159</v>
      </c>
    </row>
    <row r="53" spans="1:10" x14ac:dyDescent="0.3">
      <c r="A53" t="s">
        <v>123</v>
      </c>
      <c r="B53" s="32">
        <f>Summary!B125</f>
        <v>3</v>
      </c>
      <c r="C53" s="32">
        <f>Summary!C125</f>
        <v>4.8666666666666671</v>
      </c>
      <c r="D53" s="32">
        <f>Summary!D125</f>
        <v>3</v>
      </c>
      <c r="E53" s="32">
        <f>Summary!E125</f>
        <v>3.9743589743589745</v>
      </c>
      <c r="F53" s="32">
        <f>Summary!F125</f>
        <v>2.6711111111111112</v>
      </c>
      <c r="G53" s="32">
        <f>Summary!G125</f>
        <v>5</v>
      </c>
      <c r="H53" s="32">
        <f>Summary!H125</f>
        <v>3.666666666666667</v>
      </c>
      <c r="I53" s="32">
        <f>Summary!I125</f>
        <v>5</v>
      </c>
      <c r="J53" t="s">
        <v>159</v>
      </c>
    </row>
    <row r="54" spans="1:10" x14ac:dyDescent="0.3">
      <c r="A54" s="13" t="s">
        <v>124</v>
      </c>
      <c r="B54" s="32">
        <f>Summary!B126</f>
        <v>2.1111111111111107</v>
      </c>
      <c r="C54" s="32">
        <f>Summary!C126</f>
        <v>3.49009009009009</v>
      </c>
      <c r="D54" s="32">
        <f>Summary!D126</f>
        <v>4.3333333333333339</v>
      </c>
      <c r="E54" s="32">
        <f>Summary!E126</f>
        <v>4.8974358974358978</v>
      </c>
      <c r="F54" s="32">
        <f>Summary!F126</f>
        <v>4.166666666666667</v>
      </c>
      <c r="G54" s="32">
        <f>Summary!G126</f>
        <v>5</v>
      </c>
      <c r="H54" s="32">
        <f>Summary!H126</f>
        <v>5</v>
      </c>
      <c r="I54" s="32">
        <f>Summary!I126</f>
        <v>5</v>
      </c>
      <c r="J54" t="s">
        <v>159</v>
      </c>
    </row>
    <row r="55" spans="1:10" x14ac:dyDescent="0.3">
      <c r="A55" t="s">
        <v>125</v>
      </c>
      <c r="B55" s="32">
        <f>Summary!B127</f>
        <v>3</v>
      </c>
      <c r="C55" s="32">
        <f>Summary!C127</f>
        <v>4.8666666666666671</v>
      </c>
      <c r="D55" s="32">
        <f>Summary!D127</f>
        <v>1.6666666666666665</v>
      </c>
      <c r="E55" s="32">
        <f>Summary!E127</f>
        <v>3.8717948717948718</v>
      </c>
      <c r="F55" s="32">
        <f>Summary!F127</f>
        <v>2.4377777777777774</v>
      </c>
      <c r="G55" s="32">
        <f>Summary!G127</f>
        <v>5</v>
      </c>
      <c r="H55" s="32">
        <f>Summary!H127</f>
        <v>5</v>
      </c>
      <c r="I55" s="32">
        <f>Summary!I127</f>
        <v>5</v>
      </c>
      <c r="J55" t="s">
        <v>159</v>
      </c>
    </row>
    <row r="56" spans="1:10" x14ac:dyDescent="0.3">
      <c r="A56" t="s">
        <v>126</v>
      </c>
      <c r="B56" s="32">
        <f>Summary!B128</f>
        <v>3</v>
      </c>
      <c r="C56" s="32">
        <f>Summary!C128</f>
        <v>4.9351351351351349</v>
      </c>
      <c r="D56" s="32">
        <f>Summary!D128</f>
        <v>3</v>
      </c>
      <c r="E56" s="32">
        <f>Summary!E128</f>
        <v>4.1794871794871797</v>
      </c>
      <c r="F56" s="32">
        <f>Summary!F128</f>
        <v>3.7355555555555555</v>
      </c>
      <c r="G56" s="32">
        <f>Summary!G128</f>
        <v>4.666666666666667</v>
      </c>
      <c r="H56" s="32">
        <f>Summary!H128</f>
        <v>5</v>
      </c>
      <c r="I56" s="32">
        <f>Summary!I128</f>
        <v>5</v>
      </c>
      <c r="J56" t="s">
        <v>159</v>
      </c>
    </row>
    <row r="57" spans="1:10" x14ac:dyDescent="0.3">
      <c r="A57" t="s">
        <v>127</v>
      </c>
      <c r="B57" s="32">
        <f>Summary!B129</f>
        <v>3</v>
      </c>
      <c r="C57" s="32">
        <f>Summary!C129</f>
        <v>4.6828828828828826</v>
      </c>
      <c r="D57" s="32">
        <f>Summary!D129</f>
        <v>3</v>
      </c>
      <c r="E57" s="32">
        <f>Summary!E129</f>
        <v>4.8974358974358978</v>
      </c>
      <c r="F57" s="32">
        <f>Summary!F129</f>
        <v>3.0533333333333337</v>
      </c>
      <c r="G57" s="32">
        <f>Summary!G129</f>
        <v>5</v>
      </c>
      <c r="H57" s="32">
        <f>Summary!H129</f>
        <v>5</v>
      </c>
      <c r="I57" s="32">
        <f>Summary!I129</f>
        <v>1</v>
      </c>
      <c r="J57" t="s">
        <v>159</v>
      </c>
    </row>
    <row r="58" spans="1:10" x14ac:dyDescent="0.3">
      <c r="A58" t="s">
        <v>128</v>
      </c>
      <c r="B58" s="32">
        <f>Summary!B130</f>
        <v>1</v>
      </c>
      <c r="C58" s="32">
        <f>Summary!C130</f>
        <v>0</v>
      </c>
      <c r="D58" s="32">
        <f>Summary!D130</f>
        <v>4.3333333333333339</v>
      </c>
      <c r="E58" s="32">
        <f>Summary!E130</f>
        <v>4.8974358974358978</v>
      </c>
      <c r="F58" s="32">
        <f>Summary!F130</f>
        <v>3.8177777777777777</v>
      </c>
      <c r="G58" s="32">
        <f>Summary!G130</f>
        <v>1.6666666666666665</v>
      </c>
      <c r="H58" s="32">
        <f>Summary!H130</f>
        <v>5</v>
      </c>
      <c r="I58" s="32">
        <f>Summary!I130</f>
        <v>5</v>
      </c>
      <c r="J58" t="s">
        <v>159</v>
      </c>
    </row>
    <row r="59" spans="1:10" x14ac:dyDescent="0.3">
      <c r="A59" t="s">
        <v>129</v>
      </c>
      <c r="B59" s="32">
        <f>Summary!B131</f>
        <v>2.333333333333333</v>
      </c>
      <c r="C59" s="32">
        <f>Summary!C131</f>
        <v>3.781981981981982</v>
      </c>
      <c r="D59" s="32">
        <f>Summary!D131</f>
        <v>3.6666666666666665</v>
      </c>
      <c r="E59" s="32">
        <f>Summary!E131</f>
        <v>4.8974358974358978</v>
      </c>
      <c r="F59" s="32">
        <f>Summary!F131</f>
        <v>3.1222222222222222</v>
      </c>
      <c r="G59" s="32">
        <f>Summary!G131</f>
        <v>5</v>
      </c>
      <c r="H59" s="32">
        <f>Summary!H131</f>
        <v>5</v>
      </c>
      <c r="I59" s="32">
        <f>Summary!I131</f>
        <v>5</v>
      </c>
      <c r="J59" t="s">
        <v>159</v>
      </c>
    </row>
    <row r="60" spans="1:10" x14ac:dyDescent="0.3">
      <c r="A60" t="s">
        <v>130</v>
      </c>
      <c r="B60" s="32">
        <f>Summary!B132</f>
        <v>1</v>
      </c>
      <c r="C60" s="32">
        <f>Summary!C132</f>
        <v>2.2612612612612608</v>
      </c>
      <c r="D60" s="32">
        <f>Summary!D132</f>
        <v>5</v>
      </c>
      <c r="E60" s="32">
        <f>Summary!E132</f>
        <v>4.8974358974358978</v>
      </c>
      <c r="F60" s="32">
        <f>Summary!F132</f>
        <v>4.6288888888888886</v>
      </c>
      <c r="G60" s="32">
        <f>Summary!G132</f>
        <v>5</v>
      </c>
      <c r="H60" s="32">
        <f>Summary!H132</f>
        <v>5</v>
      </c>
      <c r="I60" s="32">
        <f>Summary!I132</f>
        <v>5</v>
      </c>
      <c r="J60" t="s">
        <v>159</v>
      </c>
    </row>
    <row r="61" spans="1:10" x14ac:dyDescent="0.3">
      <c r="A61" t="s">
        <v>131</v>
      </c>
      <c r="B61" s="32">
        <f>Summary!B133</f>
        <v>3</v>
      </c>
      <c r="C61" s="32">
        <f>Summary!C133</f>
        <v>4.6756756756756754</v>
      </c>
      <c r="D61" s="32">
        <f>Summary!D133</f>
        <v>3</v>
      </c>
      <c r="E61" s="32">
        <f>Summary!E133</f>
        <v>4.8974358974358978</v>
      </c>
      <c r="F61" s="32">
        <f>Summary!F133</f>
        <v>3.0466666666666669</v>
      </c>
      <c r="G61" s="32">
        <f>Summary!G133</f>
        <v>4.833333333333333</v>
      </c>
      <c r="H61" s="32">
        <f>Summary!H133</f>
        <v>5</v>
      </c>
      <c r="I61" s="32">
        <f>Summary!I133</f>
        <v>5</v>
      </c>
      <c r="J61" t="s">
        <v>159</v>
      </c>
    </row>
    <row r="62" spans="1:10" x14ac:dyDescent="0.3">
      <c r="A62" t="s">
        <v>122</v>
      </c>
      <c r="B62" s="32">
        <f>Summary!B137</f>
        <v>2.1111111111111107</v>
      </c>
      <c r="C62" s="32">
        <f>Summary!C137</f>
        <v>3.5298245614035082</v>
      </c>
      <c r="D62" s="32">
        <f>Summary!D137</f>
        <v>4.3333333333333339</v>
      </c>
      <c r="E62" s="32">
        <f>Summary!E137</f>
        <v>4.8974358974358978</v>
      </c>
      <c r="F62" s="32">
        <f>Summary!F137</f>
        <v>4.166666666666667</v>
      </c>
      <c r="G62" s="32">
        <f>Summary!G137</f>
        <v>5</v>
      </c>
      <c r="H62" s="32">
        <f>Summary!H137</f>
        <v>5</v>
      </c>
      <c r="I62" s="32">
        <f>Summary!I137</f>
        <v>5</v>
      </c>
      <c r="J62" t="s">
        <v>160</v>
      </c>
    </row>
    <row r="63" spans="1:10" x14ac:dyDescent="0.3">
      <c r="A63" t="s">
        <v>123</v>
      </c>
      <c r="B63" s="32">
        <f>Summary!B136</f>
        <v>3</v>
      </c>
      <c r="C63" s="32">
        <f>Summary!C136</f>
        <v>4.7017543859649109</v>
      </c>
      <c r="D63" s="32">
        <f>Summary!D136</f>
        <v>3</v>
      </c>
      <c r="E63" s="32">
        <f>Summary!E136</f>
        <v>4.6923076923076925</v>
      </c>
      <c r="F63" s="32">
        <f>Summary!F136</f>
        <v>2.9399999999999995</v>
      </c>
      <c r="G63" s="32">
        <f>Summary!G136</f>
        <v>5</v>
      </c>
      <c r="H63" s="32">
        <f>Summary!H136</f>
        <v>3.666666666666667</v>
      </c>
      <c r="I63" s="32">
        <f>Summary!I136</f>
        <v>5</v>
      </c>
      <c r="J63" t="s">
        <v>160</v>
      </c>
    </row>
    <row r="64" spans="1:10" x14ac:dyDescent="0.3">
      <c r="A64" s="13" t="s">
        <v>124</v>
      </c>
      <c r="B64" s="32">
        <f>Summary!B137</f>
        <v>2.1111111111111107</v>
      </c>
      <c r="C64" s="32">
        <f>Summary!C137</f>
        <v>3.5298245614035082</v>
      </c>
      <c r="D64" s="32">
        <f>Summary!D137</f>
        <v>4.3333333333333339</v>
      </c>
      <c r="E64" s="32">
        <f>Summary!E137</f>
        <v>4.8974358974358978</v>
      </c>
      <c r="F64" s="32">
        <f>Summary!F137</f>
        <v>4.166666666666667</v>
      </c>
      <c r="G64" s="32">
        <f>Summary!G137</f>
        <v>5</v>
      </c>
      <c r="H64" s="32">
        <f>Summary!H137</f>
        <v>5</v>
      </c>
      <c r="I64" s="32">
        <f>Summary!I137</f>
        <v>5</v>
      </c>
      <c r="J64" t="s">
        <v>160</v>
      </c>
    </row>
    <row r="65" spans="1:10" x14ac:dyDescent="0.3">
      <c r="A65" t="s">
        <v>125</v>
      </c>
      <c r="B65" s="32">
        <f>Summary!B138</f>
        <v>3</v>
      </c>
      <c r="C65" s="32">
        <f>Summary!C138</f>
        <v>4.7017543859649109</v>
      </c>
      <c r="D65" s="32">
        <f>Summary!D138</f>
        <v>2.333333333333333</v>
      </c>
      <c r="E65" s="32">
        <f>Summary!E138</f>
        <v>4.5897435897435894</v>
      </c>
      <c r="F65" s="32">
        <f>Summary!F138</f>
        <v>2.6399999999999992</v>
      </c>
      <c r="G65" s="32">
        <f>Summary!G138</f>
        <v>5</v>
      </c>
      <c r="H65" s="32">
        <f>Summary!H138</f>
        <v>5</v>
      </c>
      <c r="I65" s="32">
        <f>Summary!I138</f>
        <v>5</v>
      </c>
      <c r="J65" t="s">
        <v>160</v>
      </c>
    </row>
    <row r="66" spans="1:10" x14ac:dyDescent="0.3">
      <c r="A66" t="s">
        <v>126</v>
      </c>
      <c r="B66" s="32">
        <f>Summary!B139</f>
        <v>3</v>
      </c>
      <c r="C66" s="32">
        <f>Summary!C139</f>
        <v>4.9298245614035077</v>
      </c>
      <c r="D66" s="32">
        <f>Summary!D139</f>
        <v>3</v>
      </c>
      <c r="E66" s="32">
        <f>Summary!E139</f>
        <v>4.1794871794871797</v>
      </c>
      <c r="F66" s="32">
        <f>Summary!F139</f>
        <v>3.7177777777777776</v>
      </c>
      <c r="G66" s="32">
        <f>Summary!G139</f>
        <v>4.666666666666667</v>
      </c>
      <c r="H66" s="32">
        <f>Summary!H139</f>
        <v>5</v>
      </c>
      <c r="I66" s="32">
        <f>Summary!I139</f>
        <v>5</v>
      </c>
      <c r="J66" t="s">
        <v>160</v>
      </c>
    </row>
    <row r="67" spans="1:10" x14ac:dyDescent="0.3">
      <c r="A67" t="s">
        <v>127</v>
      </c>
      <c r="B67" s="32">
        <f>Summary!B140</f>
        <v>3</v>
      </c>
      <c r="C67" s="32">
        <f>Summary!C140</f>
        <v>4.6877192982456126</v>
      </c>
      <c r="D67" s="32">
        <f>Summary!D140</f>
        <v>3</v>
      </c>
      <c r="E67" s="32">
        <f>Summary!E140</f>
        <v>4.8974358974358978</v>
      </c>
      <c r="F67" s="32">
        <f>Summary!F140</f>
        <v>3.0422222222222222</v>
      </c>
      <c r="G67" s="32">
        <f>Summary!G140</f>
        <v>5</v>
      </c>
      <c r="H67" s="32">
        <f>Summary!H140</f>
        <v>5</v>
      </c>
      <c r="I67" s="32">
        <f>Summary!I140</f>
        <v>1</v>
      </c>
      <c r="J67" t="s">
        <v>160</v>
      </c>
    </row>
    <row r="68" spans="1:10" x14ac:dyDescent="0.3">
      <c r="A68" t="s">
        <v>128</v>
      </c>
      <c r="B68" s="32">
        <f>Summary!B141</f>
        <v>1</v>
      </c>
      <c r="C68" s="32">
        <f>Summary!C141</f>
        <v>0</v>
      </c>
      <c r="D68" s="32">
        <f>Summary!D141</f>
        <v>4.3333333333333339</v>
      </c>
      <c r="E68" s="32">
        <f>Summary!E141</f>
        <v>4.8974358974358978</v>
      </c>
      <c r="F68" s="32">
        <f>Summary!F141</f>
        <v>3.8177777777777777</v>
      </c>
      <c r="G68" s="32">
        <f>Summary!G141</f>
        <v>1.6666666666666665</v>
      </c>
      <c r="H68" s="32">
        <f>Summary!H141</f>
        <v>5</v>
      </c>
      <c r="I68" s="32">
        <f>Summary!I141</f>
        <v>5</v>
      </c>
      <c r="J68" t="s">
        <v>160</v>
      </c>
    </row>
    <row r="69" spans="1:10" x14ac:dyDescent="0.3">
      <c r="A69" t="s">
        <v>129</v>
      </c>
      <c r="B69" s="32">
        <f>Summary!B142</f>
        <v>2.333333333333333</v>
      </c>
      <c r="C69" s="32">
        <f>Summary!C142</f>
        <v>3.8140350877192972</v>
      </c>
      <c r="D69" s="32">
        <f>Summary!D142</f>
        <v>3.6666666666666665</v>
      </c>
      <c r="E69" s="32">
        <f>Summary!E142</f>
        <v>4.8974358974358978</v>
      </c>
      <c r="F69" s="32">
        <f>Summary!F142</f>
        <v>3.1222222222222222</v>
      </c>
      <c r="G69" s="32">
        <f>Summary!G142</f>
        <v>5</v>
      </c>
      <c r="H69" s="32">
        <f>Summary!H142</f>
        <v>5</v>
      </c>
      <c r="I69" s="32">
        <f>Summary!I142</f>
        <v>5</v>
      </c>
      <c r="J69" t="s">
        <v>160</v>
      </c>
    </row>
    <row r="70" spans="1:10" x14ac:dyDescent="0.3">
      <c r="A70" t="s">
        <v>130</v>
      </c>
      <c r="B70" s="32">
        <f>Summary!B143</f>
        <v>1</v>
      </c>
      <c r="C70" s="32">
        <f>Summary!C143</f>
        <v>2.3333333333333321</v>
      </c>
      <c r="D70" s="32">
        <f>Summary!D143</f>
        <v>5</v>
      </c>
      <c r="E70" s="32">
        <f>Summary!E143</f>
        <v>4.8974358974358978</v>
      </c>
      <c r="F70" s="32">
        <f>Summary!F143</f>
        <v>4.6288888888888886</v>
      </c>
      <c r="G70" s="32">
        <f>Summary!G143</f>
        <v>5</v>
      </c>
      <c r="H70" s="32">
        <f>Summary!H143</f>
        <v>5</v>
      </c>
      <c r="I70" s="32">
        <f>Summary!I143</f>
        <v>5</v>
      </c>
      <c r="J70" t="s">
        <v>160</v>
      </c>
    </row>
    <row r="71" spans="1:10" x14ac:dyDescent="0.3">
      <c r="A71" t="s">
        <v>131</v>
      </c>
      <c r="B71" s="32">
        <f>Summary!B144</f>
        <v>3</v>
      </c>
      <c r="C71" s="32">
        <f>Summary!C144</f>
        <v>4.6877192982456126</v>
      </c>
      <c r="D71" s="32">
        <f>Summary!D144</f>
        <v>3</v>
      </c>
      <c r="E71" s="32">
        <f>Summary!E144</f>
        <v>4.8974358974358978</v>
      </c>
      <c r="F71" s="32">
        <f>Summary!F144</f>
        <v>3.04</v>
      </c>
      <c r="G71" s="32">
        <f>Summary!G144</f>
        <v>4.833333333333333</v>
      </c>
      <c r="H71" s="32">
        <f>Summary!H144</f>
        <v>5</v>
      </c>
      <c r="I71" s="32">
        <f>Summary!I144</f>
        <v>5</v>
      </c>
      <c r="J71" t="s">
        <v>160</v>
      </c>
    </row>
    <row r="72" spans="1:10" x14ac:dyDescent="0.3">
      <c r="A72" t="s">
        <v>122</v>
      </c>
      <c r="B72" s="32">
        <f>Summary!B148</f>
        <v>2.1111111111111107</v>
      </c>
      <c r="C72" s="32">
        <f>Summary!C148</f>
        <v>3.5675213675213673</v>
      </c>
      <c r="D72" s="32">
        <f>Summary!D148</f>
        <v>4.3333333333333339</v>
      </c>
      <c r="E72" s="32">
        <f>Summary!E148</f>
        <v>4.8974358974358978</v>
      </c>
      <c r="F72" s="32">
        <f>Summary!F148</f>
        <v>4.3955555555555552</v>
      </c>
      <c r="G72" s="32">
        <f>Summary!G148</f>
        <v>5</v>
      </c>
      <c r="H72" s="32">
        <f>Summary!H148</f>
        <v>5</v>
      </c>
      <c r="I72" s="32">
        <f>Summary!I148</f>
        <v>5</v>
      </c>
      <c r="J72" t="s">
        <v>161</v>
      </c>
    </row>
    <row r="73" spans="1:10" x14ac:dyDescent="0.3">
      <c r="A73" t="s">
        <v>123</v>
      </c>
      <c r="B73" s="32">
        <f>Summary!B147</f>
        <v>3</v>
      </c>
      <c r="C73" s="32">
        <f>Summary!C147</f>
        <v>4.6683760683760687</v>
      </c>
      <c r="D73" s="32">
        <f>Summary!D147</f>
        <v>3</v>
      </c>
      <c r="E73" s="32">
        <f>Summary!E147</f>
        <v>4.6923076923076925</v>
      </c>
      <c r="F73" s="32">
        <f>Summary!F147</f>
        <v>2.78</v>
      </c>
      <c r="G73" s="32">
        <f>Summary!G147</f>
        <v>5</v>
      </c>
      <c r="H73" s="32">
        <f>Summary!H147</f>
        <v>3.666666666666667</v>
      </c>
      <c r="I73" s="32">
        <f>Summary!I147</f>
        <v>5</v>
      </c>
      <c r="J73" t="s">
        <v>161</v>
      </c>
    </row>
    <row r="74" spans="1:10" x14ac:dyDescent="0.3">
      <c r="A74" s="13" t="s">
        <v>124</v>
      </c>
      <c r="B74" s="32">
        <f>Summary!B148</f>
        <v>2.1111111111111107</v>
      </c>
      <c r="C74" s="32">
        <f>Summary!C148</f>
        <v>3.5675213675213673</v>
      </c>
      <c r="D74" s="32">
        <f>Summary!D148</f>
        <v>4.3333333333333339</v>
      </c>
      <c r="E74" s="32">
        <f>Summary!E148</f>
        <v>4.8974358974358978</v>
      </c>
      <c r="F74" s="32">
        <f>Summary!F148</f>
        <v>4.3955555555555552</v>
      </c>
      <c r="G74" s="32">
        <f>Summary!G148</f>
        <v>5</v>
      </c>
      <c r="H74" s="32">
        <f>Summary!H148</f>
        <v>5</v>
      </c>
      <c r="I74" s="32">
        <f>Summary!I148</f>
        <v>5</v>
      </c>
      <c r="J74" t="s">
        <v>161</v>
      </c>
    </row>
    <row r="75" spans="1:10" x14ac:dyDescent="0.3">
      <c r="A75" t="s">
        <v>125</v>
      </c>
      <c r="B75" s="32">
        <f>Summary!B149</f>
        <v>3</v>
      </c>
      <c r="C75" s="32">
        <f>Summary!C149</f>
        <v>4.6683760683760687</v>
      </c>
      <c r="D75" s="32">
        <f>Summary!D149</f>
        <v>2.333333333333333</v>
      </c>
      <c r="E75" s="32">
        <f>Summary!E149</f>
        <v>4.2820512820512819</v>
      </c>
      <c r="F75" s="32">
        <f>Summary!F149</f>
        <v>2.4133333333333331</v>
      </c>
      <c r="G75" s="32">
        <f>Summary!G149</f>
        <v>5</v>
      </c>
      <c r="H75" s="32">
        <f>Summary!H149</f>
        <v>5</v>
      </c>
      <c r="I75" s="32">
        <f>Summary!I149</f>
        <v>5</v>
      </c>
      <c r="J75" t="s">
        <v>161</v>
      </c>
    </row>
    <row r="76" spans="1:10" x14ac:dyDescent="0.3">
      <c r="A76" t="s">
        <v>126</v>
      </c>
      <c r="B76" s="32">
        <f>Summary!B150</f>
        <v>3</v>
      </c>
      <c r="C76" s="32">
        <f>Summary!C150</f>
        <v>4.8632478632478628</v>
      </c>
      <c r="D76" s="32">
        <f>Summary!D150</f>
        <v>3</v>
      </c>
      <c r="E76" s="32">
        <f>Summary!E150</f>
        <v>4.1794871794871797</v>
      </c>
      <c r="F76" s="32">
        <f>Summary!F150</f>
        <v>2.8066666666666662</v>
      </c>
      <c r="G76" s="32">
        <f>Summary!G150</f>
        <v>4.666666666666667</v>
      </c>
      <c r="H76" s="32">
        <f>Summary!H150</f>
        <v>5</v>
      </c>
      <c r="I76" s="32">
        <f>Summary!I150</f>
        <v>5</v>
      </c>
      <c r="J76" t="s">
        <v>161</v>
      </c>
    </row>
    <row r="77" spans="1:10" x14ac:dyDescent="0.3">
      <c r="A77" t="s">
        <v>127</v>
      </c>
      <c r="B77" s="32">
        <f>Summary!B151</f>
        <v>3</v>
      </c>
      <c r="C77" s="32">
        <f>Summary!C151</f>
        <v>4.6683760683760687</v>
      </c>
      <c r="D77" s="32">
        <f>Summary!D151</f>
        <v>3</v>
      </c>
      <c r="E77" s="32">
        <f>Summary!E151</f>
        <v>4.8974358974358978</v>
      </c>
      <c r="F77" s="32">
        <f>Summary!F151</f>
        <v>2.9244444444444442</v>
      </c>
      <c r="G77" s="32">
        <f>Summary!G151</f>
        <v>5</v>
      </c>
      <c r="H77" s="32">
        <f>Summary!H151</f>
        <v>5</v>
      </c>
      <c r="I77" s="32">
        <f>Summary!I151</f>
        <v>1</v>
      </c>
      <c r="J77" t="s">
        <v>161</v>
      </c>
    </row>
    <row r="78" spans="1:10" x14ac:dyDescent="0.3">
      <c r="A78" t="s">
        <v>128</v>
      </c>
      <c r="B78" s="32">
        <f>Summary!B152</f>
        <v>1</v>
      </c>
      <c r="C78" s="32">
        <f>Summary!C152</f>
        <v>0</v>
      </c>
      <c r="D78" s="32">
        <f>Summary!D152</f>
        <v>4.3333333333333339</v>
      </c>
      <c r="E78" s="32">
        <f>Summary!E152</f>
        <v>4.8974358974358978</v>
      </c>
      <c r="F78" s="32">
        <f>Summary!F152</f>
        <v>3.8177777777777777</v>
      </c>
      <c r="G78" s="32">
        <f>Summary!G152</f>
        <v>1.6666666666666665</v>
      </c>
      <c r="H78" s="32">
        <f>Summary!H152</f>
        <v>5</v>
      </c>
      <c r="I78" s="32">
        <f>Summary!I152</f>
        <v>5</v>
      </c>
      <c r="J78" t="s">
        <v>161</v>
      </c>
    </row>
    <row r="79" spans="1:10" x14ac:dyDescent="0.3">
      <c r="A79" t="s">
        <v>129</v>
      </c>
      <c r="B79" s="32">
        <f>Summary!B153</f>
        <v>2.333333333333333</v>
      </c>
      <c r="C79" s="32">
        <f>Summary!C153</f>
        <v>3.8444444444444446</v>
      </c>
      <c r="D79" s="32">
        <f>Summary!D153</f>
        <v>3.6666666666666665</v>
      </c>
      <c r="E79" s="32">
        <f>Summary!E153</f>
        <v>4.8974358974358978</v>
      </c>
      <c r="F79" s="32">
        <f>Summary!F153</f>
        <v>3.1222222222222222</v>
      </c>
      <c r="G79" s="32">
        <f>Summary!G153</f>
        <v>5</v>
      </c>
      <c r="H79" s="32">
        <f>Summary!H153</f>
        <v>5</v>
      </c>
      <c r="I79" s="32">
        <f>Summary!I153</f>
        <v>5</v>
      </c>
      <c r="J79" t="s">
        <v>161</v>
      </c>
    </row>
    <row r="80" spans="1:10" x14ac:dyDescent="0.3">
      <c r="A80" t="s">
        <v>130</v>
      </c>
      <c r="B80" s="32">
        <f>Summary!B154</f>
        <v>1</v>
      </c>
      <c r="C80" s="32">
        <f>Summary!C154</f>
        <v>2.4017094017094012</v>
      </c>
      <c r="D80" s="32">
        <f>Summary!D154</f>
        <v>5</v>
      </c>
      <c r="E80" s="32">
        <f>Summary!E154</f>
        <v>4.8974358974358978</v>
      </c>
      <c r="F80" s="32">
        <f>Summary!F154</f>
        <v>4.6288888888888886</v>
      </c>
      <c r="G80" s="32">
        <f>Summary!G154</f>
        <v>5</v>
      </c>
      <c r="H80" s="32">
        <f>Summary!H154</f>
        <v>5</v>
      </c>
      <c r="I80" s="32">
        <f>Summary!I154</f>
        <v>5</v>
      </c>
      <c r="J80" t="s">
        <v>161</v>
      </c>
    </row>
    <row r="81" spans="1:10" x14ac:dyDescent="0.3">
      <c r="A81" t="s">
        <v>131</v>
      </c>
      <c r="B81" s="32">
        <f>Summary!B155</f>
        <v>3</v>
      </c>
      <c r="C81" s="32">
        <f>Summary!C155</f>
        <v>4.6376068376068371</v>
      </c>
      <c r="D81" s="32">
        <f>Summary!D155</f>
        <v>3</v>
      </c>
      <c r="E81" s="32">
        <f>Summary!E155</f>
        <v>4.6923076923076925</v>
      </c>
      <c r="F81" s="32">
        <f>Summary!F155</f>
        <v>2.9133333333333331</v>
      </c>
      <c r="G81" s="32">
        <f>Summary!G155</f>
        <v>4.833333333333333</v>
      </c>
      <c r="H81" s="32">
        <f>Summary!H155</f>
        <v>5</v>
      </c>
      <c r="I81" s="32">
        <f>Summary!I155</f>
        <v>5</v>
      </c>
      <c r="J81" t="s">
        <v>161</v>
      </c>
    </row>
    <row r="82" spans="1:10" x14ac:dyDescent="0.3">
      <c r="A82" t="s">
        <v>122</v>
      </c>
      <c r="B82" s="32">
        <f>Summary!B159</f>
        <v>2.1111111111111107</v>
      </c>
      <c r="C82" s="32">
        <f>Summary!C159</f>
        <v>3.6033333333333326</v>
      </c>
      <c r="D82" s="32">
        <f>Summary!D159</f>
        <v>4.3333333333333339</v>
      </c>
      <c r="E82" s="32">
        <f>Summary!E159</f>
        <v>4.8974358974358978</v>
      </c>
      <c r="F82" s="32">
        <f>Summary!F159</f>
        <v>4.1688888888888886</v>
      </c>
      <c r="G82" s="32">
        <f>Summary!G159</f>
        <v>5</v>
      </c>
      <c r="H82" s="32">
        <f>Summary!H159</f>
        <v>5</v>
      </c>
      <c r="I82" s="32">
        <f>Summary!I159</f>
        <v>5</v>
      </c>
      <c r="J82" t="s">
        <v>162</v>
      </c>
    </row>
    <row r="83" spans="1:10" x14ac:dyDescent="0.3">
      <c r="A83" t="s">
        <v>123</v>
      </c>
      <c r="B83" s="32">
        <f>Summary!B158</f>
        <v>3</v>
      </c>
      <c r="C83" s="32">
        <f>Summary!C158</f>
        <v>3.6033333333333326</v>
      </c>
      <c r="D83" s="32">
        <f>Summary!D158</f>
        <v>3.6666666666666665</v>
      </c>
      <c r="E83" s="32">
        <f>Summary!E158</f>
        <v>4.6923076923076925</v>
      </c>
      <c r="F83" s="32">
        <f>Summary!F158</f>
        <v>3.9555555555555557</v>
      </c>
      <c r="G83" s="32">
        <f>Summary!G158</f>
        <v>5</v>
      </c>
      <c r="H83" s="32">
        <f>Summary!H158</f>
        <v>3.666666666666667</v>
      </c>
      <c r="I83" s="32">
        <f>Summary!I158</f>
        <v>5</v>
      </c>
      <c r="J83" t="s">
        <v>162</v>
      </c>
    </row>
    <row r="84" spans="1:10" x14ac:dyDescent="0.3">
      <c r="A84" s="13" t="s">
        <v>124</v>
      </c>
      <c r="B84" s="32">
        <f>Summary!B159</f>
        <v>2.1111111111111107</v>
      </c>
      <c r="C84" s="32">
        <f>Summary!C159</f>
        <v>3.6033333333333326</v>
      </c>
      <c r="D84" s="32">
        <f>Summary!D159</f>
        <v>4.3333333333333339</v>
      </c>
      <c r="E84" s="32">
        <f>Summary!E159</f>
        <v>4.8974358974358978</v>
      </c>
      <c r="F84" s="32">
        <f>Summary!F159</f>
        <v>4.1688888888888886</v>
      </c>
      <c r="G84" s="32">
        <f>Summary!G159</f>
        <v>5</v>
      </c>
      <c r="H84" s="32">
        <f>Summary!H159</f>
        <v>5</v>
      </c>
      <c r="I84" s="32">
        <f>Summary!I159</f>
        <v>5</v>
      </c>
      <c r="J84" t="s">
        <v>162</v>
      </c>
    </row>
    <row r="85" spans="1:10" x14ac:dyDescent="0.3">
      <c r="A85" t="s">
        <v>125</v>
      </c>
      <c r="B85" s="32">
        <f>Summary!B160</f>
        <v>3</v>
      </c>
      <c r="C85" s="32">
        <f>Summary!C160</f>
        <v>3.6033333333333326</v>
      </c>
      <c r="D85" s="32">
        <f>Summary!D160</f>
        <v>3</v>
      </c>
      <c r="E85" s="32">
        <f>Summary!E160</f>
        <v>4.0769230769230766</v>
      </c>
      <c r="F85" s="32">
        <f>Summary!F160</f>
        <v>3.1444444444444448</v>
      </c>
      <c r="G85" s="32">
        <f>Summary!G160</f>
        <v>5</v>
      </c>
      <c r="H85" s="32">
        <f>Summary!H160</f>
        <v>5</v>
      </c>
      <c r="I85" s="32">
        <f>Summary!I160</f>
        <v>5</v>
      </c>
      <c r="J85" t="s">
        <v>162</v>
      </c>
    </row>
    <row r="86" spans="1:10" x14ac:dyDescent="0.3">
      <c r="A86" t="s">
        <v>126</v>
      </c>
      <c r="B86" s="32">
        <f>Summary!B161</f>
        <v>3</v>
      </c>
      <c r="C86" s="32">
        <f>Summary!C161</f>
        <v>3.6033333333333326</v>
      </c>
      <c r="D86" s="32">
        <f>Summary!D161</f>
        <v>3.6666666666666665</v>
      </c>
      <c r="E86" s="32">
        <f>Summary!E161</f>
        <v>4.8974358974358978</v>
      </c>
      <c r="F86" s="32">
        <f>Summary!F161</f>
        <v>4.3111111111111109</v>
      </c>
      <c r="G86" s="32">
        <f>Summary!G161</f>
        <v>4.666666666666667</v>
      </c>
      <c r="H86" s="32">
        <f>Summary!H161</f>
        <v>5</v>
      </c>
      <c r="I86" s="32">
        <f>Summary!I161</f>
        <v>5</v>
      </c>
      <c r="J86" t="s">
        <v>162</v>
      </c>
    </row>
    <row r="87" spans="1:10" x14ac:dyDescent="0.3">
      <c r="A87" t="s">
        <v>127</v>
      </c>
      <c r="B87" s="32">
        <f>Summary!B162</f>
        <v>3</v>
      </c>
      <c r="C87" s="32">
        <f>Summary!C162</f>
        <v>3.6033333333333326</v>
      </c>
      <c r="D87" s="32">
        <f>Summary!D162</f>
        <v>3.6666666666666665</v>
      </c>
      <c r="E87" s="32">
        <f>Summary!E162</f>
        <v>4.8974358974358978</v>
      </c>
      <c r="F87" s="32">
        <f>Summary!F162</f>
        <v>4.1733333333333338</v>
      </c>
      <c r="G87" s="32">
        <f>Summary!G162</f>
        <v>5</v>
      </c>
      <c r="H87" s="32">
        <f>Summary!H162</f>
        <v>5</v>
      </c>
      <c r="I87" s="32">
        <f>Summary!I162</f>
        <v>1</v>
      </c>
      <c r="J87" t="s">
        <v>162</v>
      </c>
    </row>
    <row r="88" spans="1:10" x14ac:dyDescent="0.3">
      <c r="A88" t="s">
        <v>128</v>
      </c>
      <c r="B88" s="32">
        <f>Summary!B163</f>
        <v>1</v>
      </c>
      <c r="C88" s="32">
        <f>Summary!C163</f>
        <v>0</v>
      </c>
      <c r="D88" s="32">
        <f>Summary!D163</f>
        <v>4.3333333333333339</v>
      </c>
      <c r="E88" s="32">
        <f>Summary!E163</f>
        <v>4.8974358974358978</v>
      </c>
      <c r="F88" s="32">
        <f>Summary!F163</f>
        <v>4.7088888888888887</v>
      </c>
      <c r="G88" s="32">
        <f>Summary!G163</f>
        <v>1.6666666666666665</v>
      </c>
      <c r="H88" s="32">
        <f>Summary!H163</f>
        <v>5</v>
      </c>
      <c r="I88" s="32">
        <f>Summary!I163</f>
        <v>5</v>
      </c>
      <c r="J88" t="s">
        <v>162</v>
      </c>
    </row>
    <row r="89" spans="1:10" x14ac:dyDescent="0.3">
      <c r="A89" t="s">
        <v>129</v>
      </c>
      <c r="B89" s="32">
        <f>Summary!B164</f>
        <v>2.333333333333333</v>
      </c>
      <c r="C89" s="32">
        <f>Summary!C164</f>
        <v>3.8733333333333326</v>
      </c>
      <c r="D89" s="32">
        <f>Summary!D164</f>
        <v>3.6666666666666665</v>
      </c>
      <c r="E89" s="32">
        <f>Summary!E164</f>
        <v>4.8974358974358978</v>
      </c>
      <c r="F89" s="32">
        <f>Summary!F164</f>
        <v>3.1222222222222222</v>
      </c>
      <c r="G89" s="32">
        <f>Summary!G164</f>
        <v>5</v>
      </c>
      <c r="H89" s="32">
        <f>Summary!H164</f>
        <v>5</v>
      </c>
      <c r="I89" s="32">
        <f>Summary!I164</f>
        <v>5</v>
      </c>
      <c r="J89" t="s">
        <v>162</v>
      </c>
    </row>
    <row r="90" spans="1:10" x14ac:dyDescent="0.3">
      <c r="A90" t="s">
        <v>130</v>
      </c>
      <c r="B90" s="32">
        <f>Summary!B165</f>
        <v>1</v>
      </c>
      <c r="C90" s="32">
        <f>Summary!C165</f>
        <v>2.4666666666666659</v>
      </c>
      <c r="D90" s="32">
        <f>Summary!D165</f>
        <v>5</v>
      </c>
      <c r="E90" s="32">
        <f>Summary!E165</f>
        <v>4.8974358974358978</v>
      </c>
      <c r="F90" s="32">
        <f>Summary!F165</f>
        <v>4.6288888888888886</v>
      </c>
      <c r="G90" s="32">
        <f>Summary!G165</f>
        <v>5</v>
      </c>
      <c r="H90" s="32">
        <f>Summary!H165</f>
        <v>5</v>
      </c>
      <c r="I90" s="32">
        <f>Summary!I165</f>
        <v>5</v>
      </c>
      <c r="J90" t="s">
        <v>162</v>
      </c>
    </row>
    <row r="91" spans="1:10" x14ac:dyDescent="0.3">
      <c r="A91" t="s">
        <v>131</v>
      </c>
      <c r="B91" s="32">
        <f>Summary!B166</f>
        <v>3</v>
      </c>
      <c r="C91" s="32">
        <f>Summary!C166</f>
        <v>3.6033333333333326</v>
      </c>
      <c r="D91" s="32">
        <f>Summary!D166</f>
        <v>3.6666666666666665</v>
      </c>
      <c r="E91" s="32">
        <f>Summary!E166</f>
        <v>4.8974358974358978</v>
      </c>
      <c r="F91" s="32">
        <f>Summary!F166</f>
        <v>4.3133333333333335</v>
      </c>
      <c r="G91" s="32">
        <f>Summary!G166</f>
        <v>4.833333333333333</v>
      </c>
      <c r="H91" s="32">
        <f>Summary!H166</f>
        <v>5</v>
      </c>
      <c r="I91" s="32">
        <f>Summary!I166</f>
        <v>5</v>
      </c>
      <c r="J91" t="s">
        <v>162</v>
      </c>
    </row>
    <row r="92" spans="1:10" x14ac:dyDescent="0.3">
      <c r="A92" t="s">
        <v>122</v>
      </c>
      <c r="B92" s="32">
        <f>Summary!B170</f>
        <v>2.1111111111111107</v>
      </c>
      <c r="C92" s="32">
        <f>Summary!C170</f>
        <v>3.6373983739837401</v>
      </c>
      <c r="D92" s="32">
        <f>Summary!D170</f>
        <v>4.3333333333333339</v>
      </c>
      <c r="E92" s="32">
        <f>Summary!E170</f>
        <v>4.8974358974358978</v>
      </c>
      <c r="F92" s="32">
        <f>Summary!F170</f>
        <v>4.166666666666667</v>
      </c>
      <c r="G92" s="32">
        <f>Summary!G170</f>
        <v>5</v>
      </c>
      <c r="H92" s="32">
        <f>Summary!H170</f>
        <v>5</v>
      </c>
      <c r="I92" s="32">
        <f>Summary!I170</f>
        <v>5</v>
      </c>
      <c r="J92" t="s">
        <v>163</v>
      </c>
    </row>
    <row r="93" spans="1:10" x14ac:dyDescent="0.3">
      <c r="A93" t="s">
        <v>123</v>
      </c>
      <c r="B93" s="32">
        <f>Summary!B169</f>
        <v>3</v>
      </c>
      <c r="C93" s="32">
        <f>Summary!C169</f>
        <v>3.6373983739837401</v>
      </c>
      <c r="D93" s="32">
        <f>Summary!D169</f>
        <v>3.6666666666666665</v>
      </c>
      <c r="E93" s="32">
        <f>Summary!E169</f>
        <v>4.6923076923076925</v>
      </c>
      <c r="F93" s="32">
        <f>Summary!F169</f>
        <v>3.9555555555555557</v>
      </c>
      <c r="G93" s="32">
        <f>Summary!G169</f>
        <v>5</v>
      </c>
      <c r="H93" s="32">
        <f>Summary!H169</f>
        <v>3.666666666666667</v>
      </c>
      <c r="I93" s="32">
        <f>Summary!I169</f>
        <v>5</v>
      </c>
      <c r="J93" t="s">
        <v>163</v>
      </c>
    </row>
    <row r="94" spans="1:10" x14ac:dyDescent="0.3">
      <c r="A94" s="13" t="s">
        <v>124</v>
      </c>
      <c r="B94" s="32">
        <f>Summary!B170</f>
        <v>2.1111111111111107</v>
      </c>
      <c r="C94" s="32">
        <f>Summary!C170</f>
        <v>3.6373983739837401</v>
      </c>
      <c r="D94" s="32">
        <f>Summary!D170</f>
        <v>4.3333333333333339</v>
      </c>
      <c r="E94" s="32">
        <f>Summary!E170</f>
        <v>4.8974358974358978</v>
      </c>
      <c r="F94" s="32">
        <f>Summary!F170</f>
        <v>4.166666666666667</v>
      </c>
      <c r="G94" s="32">
        <f>Summary!G170</f>
        <v>5</v>
      </c>
      <c r="H94" s="32">
        <f>Summary!H170</f>
        <v>5</v>
      </c>
      <c r="I94" s="32">
        <f>Summary!I170</f>
        <v>5</v>
      </c>
      <c r="J94" t="s">
        <v>163</v>
      </c>
    </row>
    <row r="95" spans="1:10" x14ac:dyDescent="0.3">
      <c r="A95" t="s">
        <v>125</v>
      </c>
      <c r="B95" s="32">
        <f>Summary!B171</f>
        <v>3</v>
      </c>
      <c r="C95" s="32">
        <f>Summary!C171</f>
        <v>3.6373983739837401</v>
      </c>
      <c r="D95" s="32">
        <f>Summary!D171</f>
        <v>3</v>
      </c>
      <c r="E95" s="32">
        <f>Summary!E171</f>
        <v>3.9743589743589745</v>
      </c>
      <c r="F95" s="32">
        <f>Summary!F171</f>
        <v>2.8444444444444441</v>
      </c>
      <c r="G95" s="32">
        <f>Summary!G171</f>
        <v>5</v>
      </c>
      <c r="H95" s="32">
        <f>Summary!H171</f>
        <v>5</v>
      </c>
      <c r="I95" s="32">
        <f>Summary!I171</f>
        <v>5</v>
      </c>
      <c r="J95" t="s">
        <v>163</v>
      </c>
    </row>
    <row r="96" spans="1:10" x14ac:dyDescent="0.3">
      <c r="A96" t="s">
        <v>126</v>
      </c>
      <c r="B96" s="32">
        <f>Summary!B172</f>
        <v>3</v>
      </c>
      <c r="C96" s="32">
        <f>Summary!C172</f>
        <v>3.6373983739837401</v>
      </c>
      <c r="D96" s="32">
        <f>Summary!D172</f>
        <v>3.6666666666666665</v>
      </c>
      <c r="E96" s="32">
        <f>Summary!E172</f>
        <v>4.8974358974358978</v>
      </c>
      <c r="F96" s="32">
        <f>Summary!F172</f>
        <v>4.2444444444444445</v>
      </c>
      <c r="G96" s="32">
        <f>Summary!G172</f>
        <v>4.666666666666667</v>
      </c>
      <c r="H96" s="32">
        <f>Summary!H172</f>
        <v>5</v>
      </c>
      <c r="I96" s="32">
        <f>Summary!I172</f>
        <v>5</v>
      </c>
      <c r="J96" t="s">
        <v>163</v>
      </c>
    </row>
    <row r="97" spans="1:10" x14ac:dyDescent="0.3">
      <c r="A97" t="s">
        <v>127</v>
      </c>
      <c r="B97" s="32">
        <f>Summary!B173</f>
        <v>3</v>
      </c>
      <c r="C97" s="32">
        <f>Summary!C173</f>
        <v>3.6373983739837401</v>
      </c>
      <c r="D97" s="32">
        <f>Summary!D173</f>
        <v>3.6666666666666665</v>
      </c>
      <c r="E97" s="32">
        <f>Summary!E173</f>
        <v>4.8974358974358978</v>
      </c>
      <c r="F97" s="32">
        <f>Summary!F173</f>
        <v>4.1222222222222218</v>
      </c>
      <c r="G97" s="32">
        <f>Summary!G173</f>
        <v>5</v>
      </c>
      <c r="H97" s="32">
        <f>Summary!H173</f>
        <v>5</v>
      </c>
      <c r="I97" s="32">
        <f>Summary!I173</f>
        <v>1</v>
      </c>
      <c r="J97" t="s">
        <v>163</v>
      </c>
    </row>
    <row r="98" spans="1:10" x14ac:dyDescent="0.3">
      <c r="A98" t="s">
        <v>128</v>
      </c>
      <c r="B98" s="32">
        <f>Summary!B174</f>
        <v>1</v>
      </c>
      <c r="C98" s="32">
        <f>Summary!C174</f>
        <v>0</v>
      </c>
      <c r="D98" s="32">
        <f>Summary!D174</f>
        <v>4.3333333333333339</v>
      </c>
      <c r="E98" s="32">
        <f>Summary!E174</f>
        <v>4.8974358974358978</v>
      </c>
      <c r="F98" s="32">
        <f>Summary!F174</f>
        <v>3.9555555555555557</v>
      </c>
      <c r="G98" s="32">
        <f>Summary!G174</f>
        <v>1.6666666666666665</v>
      </c>
      <c r="H98" s="32">
        <f>Summary!H174</f>
        <v>5</v>
      </c>
      <c r="I98" s="32">
        <f>Summary!I174</f>
        <v>5</v>
      </c>
      <c r="J98" t="s">
        <v>163</v>
      </c>
    </row>
    <row r="99" spans="1:10" x14ac:dyDescent="0.3">
      <c r="A99" t="s">
        <v>129</v>
      </c>
      <c r="B99" s="32">
        <f>Summary!B175</f>
        <v>2.333333333333333</v>
      </c>
      <c r="C99" s="32">
        <f>Summary!C175</f>
        <v>3.9008130081300814</v>
      </c>
      <c r="D99" s="32">
        <f>Summary!D175</f>
        <v>3.6666666666666665</v>
      </c>
      <c r="E99" s="32">
        <f>Summary!E175</f>
        <v>4.8974358974358978</v>
      </c>
      <c r="F99" s="32">
        <f>Summary!F175</f>
        <v>3.1222222222222222</v>
      </c>
      <c r="G99" s="32">
        <f>Summary!G175</f>
        <v>5</v>
      </c>
      <c r="H99" s="32">
        <f>Summary!H175</f>
        <v>5</v>
      </c>
      <c r="I99" s="32">
        <f>Summary!I175</f>
        <v>5</v>
      </c>
      <c r="J99" t="s">
        <v>163</v>
      </c>
    </row>
    <row r="100" spans="1:10" x14ac:dyDescent="0.3">
      <c r="A100" t="s">
        <v>130</v>
      </c>
      <c r="B100" s="32">
        <f>Summary!B176</f>
        <v>1</v>
      </c>
      <c r="C100" s="32">
        <f>Summary!C176</f>
        <v>2.5284552845528454</v>
      </c>
      <c r="D100" s="32">
        <f>Summary!D176</f>
        <v>5</v>
      </c>
      <c r="E100" s="32">
        <f>Summary!E176</f>
        <v>4.8974358974358978</v>
      </c>
      <c r="F100" s="32">
        <f>Summary!F176</f>
        <v>4.6288888888888886</v>
      </c>
      <c r="G100" s="32">
        <f>Summary!G176</f>
        <v>5</v>
      </c>
      <c r="H100" s="32">
        <f>Summary!H176</f>
        <v>5</v>
      </c>
      <c r="I100" s="32">
        <f>Summary!I176</f>
        <v>5</v>
      </c>
      <c r="J100" t="s">
        <v>163</v>
      </c>
    </row>
    <row r="101" spans="1:10" x14ac:dyDescent="0.3">
      <c r="A101" t="s">
        <v>131</v>
      </c>
      <c r="B101" s="32">
        <f>Summary!B177</f>
        <v>3</v>
      </c>
      <c r="C101" s="32">
        <f>Summary!C177</f>
        <v>3.6373983739837401</v>
      </c>
      <c r="D101" s="32">
        <f>Summary!D177</f>
        <v>3.6666666666666665</v>
      </c>
      <c r="E101" s="32">
        <f>Summary!E177</f>
        <v>4.8974358974358978</v>
      </c>
      <c r="F101" s="32">
        <f>Summary!F177</f>
        <v>4.2466666666666661</v>
      </c>
      <c r="G101" s="32">
        <f>Summary!G177</f>
        <v>4.833333333333333</v>
      </c>
      <c r="H101" s="32">
        <f>Summary!H177</f>
        <v>5</v>
      </c>
      <c r="I101" s="32">
        <f>Summary!I177</f>
        <v>5</v>
      </c>
      <c r="J101" t="s">
        <v>163</v>
      </c>
    </row>
    <row r="102" spans="1:10" x14ac:dyDescent="0.3">
      <c r="A102" t="s">
        <v>122</v>
      </c>
      <c r="B102" s="32">
        <f>Summary!B181</f>
        <v>2.1111111111111107</v>
      </c>
      <c r="C102" s="32">
        <f>Summary!C181</f>
        <v>3.6698412698412692</v>
      </c>
      <c r="D102" s="32">
        <f>Summary!D181</f>
        <v>3.6666666666666665</v>
      </c>
      <c r="E102" s="32">
        <f>Summary!E181</f>
        <v>4.8974358974358978</v>
      </c>
      <c r="F102" s="32">
        <f>Summary!F181</f>
        <v>4.0888888888888886</v>
      </c>
      <c r="G102" s="32">
        <f>Summary!G181</f>
        <v>5</v>
      </c>
      <c r="H102" s="32">
        <f>Summary!H181</f>
        <v>5</v>
      </c>
      <c r="I102" s="32">
        <f>Summary!I181</f>
        <v>5</v>
      </c>
      <c r="J102" t="s">
        <v>164</v>
      </c>
    </row>
    <row r="103" spans="1:10" x14ac:dyDescent="0.3">
      <c r="A103" t="s">
        <v>123</v>
      </c>
      <c r="B103" s="32">
        <f>Summary!B180</f>
        <v>3</v>
      </c>
      <c r="C103" s="32">
        <f>Summary!C180</f>
        <v>3.6698412698412692</v>
      </c>
      <c r="D103" s="32">
        <f>Summary!D180</f>
        <v>4.3333333333333339</v>
      </c>
      <c r="E103" s="32">
        <f>Summary!E180</f>
        <v>4.6923076923076925</v>
      </c>
      <c r="F103" s="32">
        <f>Summary!F180</f>
        <v>4.0866666666666669</v>
      </c>
      <c r="G103" s="32">
        <f>Summary!G180</f>
        <v>5</v>
      </c>
      <c r="H103" s="32">
        <f>Summary!H180</f>
        <v>3.666666666666667</v>
      </c>
      <c r="I103" s="32">
        <f>Summary!I180</f>
        <v>5</v>
      </c>
      <c r="J103" t="s">
        <v>164</v>
      </c>
    </row>
    <row r="104" spans="1:10" x14ac:dyDescent="0.3">
      <c r="A104" s="13" t="s">
        <v>124</v>
      </c>
      <c r="B104" s="32">
        <f>Summary!B181</f>
        <v>2.1111111111111107</v>
      </c>
      <c r="C104" s="32">
        <f>Summary!C181</f>
        <v>3.6698412698412692</v>
      </c>
      <c r="D104" s="32">
        <f>Summary!D181</f>
        <v>3.6666666666666665</v>
      </c>
      <c r="E104" s="32">
        <f>Summary!E181</f>
        <v>4.8974358974358978</v>
      </c>
      <c r="F104" s="32">
        <f>Summary!F181</f>
        <v>4.0888888888888886</v>
      </c>
      <c r="G104" s="32">
        <f>Summary!G181</f>
        <v>5</v>
      </c>
      <c r="H104" s="32">
        <f>Summary!H181</f>
        <v>5</v>
      </c>
      <c r="I104" s="32">
        <f>Summary!I181</f>
        <v>5</v>
      </c>
      <c r="J104" t="s">
        <v>164</v>
      </c>
    </row>
    <row r="105" spans="1:10" x14ac:dyDescent="0.3">
      <c r="A105" t="s">
        <v>125</v>
      </c>
      <c r="B105" s="32">
        <f>Summary!B182</f>
        <v>3</v>
      </c>
      <c r="C105" s="32">
        <f>Summary!C182</f>
        <v>3.6698412698412692</v>
      </c>
      <c r="D105" s="32">
        <f>Summary!D182</f>
        <v>3</v>
      </c>
      <c r="E105" s="32">
        <f>Summary!E182</f>
        <v>4.0769230769230766</v>
      </c>
      <c r="F105" s="32">
        <f>Summary!F182</f>
        <v>1.9333333333333336</v>
      </c>
      <c r="G105" s="32">
        <f>Summary!G182</f>
        <v>5</v>
      </c>
      <c r="H105" s="32">
        <f>Summary!H182</f>
        <v>5</v>
      </c>
      <c r="I105" s="32">
        <f>Summary!I182</f>
        <v>5</v>
      </c>
      <c r="J105" t="s">
        <v>164</v>
      </c>
    </row>
    <row r="106" spans="1:10" x14ac:dyDescent="0.3">
      <c r="A106" t="s">
        <v>126</v>
      </c>
      <c r="B106" s="32">
        <f>Summary!B183</f>
        <v>3</v>
      </c>
      <c r="C106" s="32">
        <f>Summary!C183</f>
        <v>3.6698412698412692</v>
      </c>
      <c r="D106" s="32">
        <f>Summary!D183</f>
        <v>3.6666666666666665</v>
      </c>
      <c r="E106" s="32">
        <f>Summary!E183</f>
        <v>4.8974358974358978</v>
      </c>
      <c r="F106" s="32">
        <f>Summary!F183</f>
        <v>3.9488888888888889</v>
      </c>
      <c r="G106" s="32">
        <f>Summary!G183</f>
        <v>4.666666666666667</v>
      </c>
      <c r="H106" s="32">
        <f>Summary!H183</f>
        <v>5</v>
      </c>
      <c r="I106" s="32">
        <f>Summary!I183</f>
        <v>5</v>
      </c>
      <c r="J106" t="s">
        <v>164</v>
      </c>
    </row>
    <row r="107" spans="1:10" x14ac:dyDescent="0.3">
      <c r="A107" t="s">
        <v>127</v>
      </c>
      <c r="B107" s="32">
        <f>Summary!B184</f>
        <v>3</v>
      </c>
      <c r="C107" s="32">
        <f>Summary!C184</f>
        <v>3.6698412698412692</v>
      </c>
      <c r="D107" s="32">
        <f>Summary!D184</f>
        <v>3.6666666666666665</v>
      </c>
      <c r="E107" s="32">
        <f>Summary!E184</f>
        <v>4.8974358974358978</v>
      </c>
      <c r="F107" s="32">
        <f>Summary!F184</f>
        <v>3.822222222222222</v>
      </c>
      <c r="G107" s="32">
        <f>Summary!G184</f>
        <v>5</v>
      </c>
      <c r="H107" s="32">
        <f>Summary!H184</f>
        <v>5</v>
      </c>
      <c r="I107" s="32">
        <f>Summary!I184</f>
        <v>1</v>
      </c>
      <c r="J107" t="s">
        <v>164</v>
      </c>
    </row>
    <row r="108" spans="1:10" x14ac:dyDescent="0.3">
      <c r="A108" t="s">
        <v>128</v>
      </c>
      <c r="B108" s="32">
        <f>Summary!B185</f>
        <v>1</v>
      </c>
      <c r="C108" s="32">
        <f>Summary!C185</f>
        <v>0</v>
      </c>
      <c r="D108" s="32">
        <f>Summary!D185</f>
        <v>4.3333333333333339</v>
      </c>
      <c r="E108" s="32">
        <f>Summary!E185</f>
        <v>4.8974358974358978</v>
      </c>
      <c r="F108" s="32">
        <f>Summary!F185</f>
        <v>3.8177777777777777</v>
      </c>
      <c r="G108" s="32">
        <f>Summary!G185</f>
        <v>1.6666666666666665</v>
      </c>
      <c r="H108" s="32">
        <f>Summary!H185</f>
        <v>5</v>
      </c>
      <c r="I108" s="32">
        <f>Summary!I185</f>
        <v>5</v>
      </c>
      <c r="J108" t="s">
        <v>164</v>
      </c>
    </row>
    <row r="109" spans="1:10" x14ac:dyDescent="0.3">
      <c r="A109" t="s">
        <v>129</v>
      </c>
      <c r="B109" s="32">
        <f>Summary!B186</f>
        <v>2.333333333333333</v>
      </c>
      <c r="C109" s="32">
        <f>Summary!C186</f>
        <v>3.9269841269841259</v>
      </c>
      <c r="D109" s="32">
        <f>Summary!D186</f>
        <v>3.6666666666666665</v>
      </c>
      <c r="E109" s="32">
        <f>Summary!E186</f>
        <v>4.8974358974358978</v>
      </c>
      <c r="F109" s="32">
        <f>Summary!F186</f>
        <v>3.1311111111111112</v>
      </c>
      <c r="G109" s="32">
        <f>Summary!G186</f>
        <v>5</v>
      </c>
      <c r="H109" s="32">
        <f>Summary!H186</f>
        <v>5</v>
      </c>
      <c r="I109" s="32">
        <f>Summary!I186</f>
        <v>5</v>
      </c>
      <c r="J109" t="s">
        <v>164</v>
      </c>
    </row>
    <row r="110" spans="1:10" x14ac:dyDescent="0.3">
      <c r="A110" t="s">
        <v>130</v>
      </c>
      <c r="B110" s="32">
        <f>Summary!B187</f>
        <v>1</v>
      </c>
      <c r="C110" s="32">
        <f>Summary!C187</f>
        <v>2.5873015873015865</v>
      </c>
      <c r="D110" s="32">
        <f>Summary!D187</f>
        <v>5</v>
      </c>
      <c r="E110" s="32">
        <f>Summary!E187</f>
        <v>4.8974358974358978</v>
      </c>
      <c r="F110" s="32">
        <f>Summary!F187</f>
        <v>4.6288888888888886</v>
      </c>
      <c r="G110" s="32">
        <f>Summary!G187</f>
        <v>5</v>
      </c>
      <c r="H110" s="32">
        <f>Summary!H187</f>
        <v>5</v>
      </c>
      <c r="I110" s="32">
        <f>Summary!I187</f>
        <v>5</v>
      </c>
      <c r="J110" t="s">
        <v>164</v>
      </c>
    </row>
    <row r="111" spans="1:10" x14ac:dyDescent="0.3">
      <c r="A111" t="s">
        <v>131</v>
      </c>
      <c r="B111" s="32">
        <f>Summary!B188</f>
        <v>3</v>
      </c>
      <c r="C111" s="32">
        <f>Summary!C188</f>
        <v>3.6698412698412692</v>
      </c>
      <c r="D111" s="32">
        <f>Summary!D188</f>
        <v>3.6666666666666665</v>
      </c>
      <c r="E111" s="32">
        <f>Summary!E188</f>
        <v>4.8974358974358978</v>
      </c>
      <c r="F111" s="32">
        <f>Summary!F188</f>
        <v>3.951111111111111</v>
      </c>
      <c r="G111" s="32">
        <f>Summary!G188</f>
        <v>4.833333333333333</v>
      </c>
      <c r="H111" s="32">
        <f>Summary!H188</f>
        <v>5</v>
      </c>
      <c r="I111" s="32">
        <f>Summary!I188</f>
        <v>5</v>
      </c>
      <c r="J111" t="s">
        <v>164</v>
      </c>
    </row>
    <row r="112" spans="1:10" x14ac:dyDescent="0.3">
      <c r="A112" t="s">
        <v>122</v>
      </c>
      <c r="B112" s="32">
        <f>Summary!B192</f>
        <v>2.1111111111111107</v>
      </c>
      <c r="C112" s="32">
        <f>Summary!C192</f>
        <v>3.7007751937984503</v>
      </c>
      <c r="D112" s="32">
        <f>Summary!D192</f>
        <v>3.6666666666666665</v>
      </c>
      <c r="E112" s="32">
        <f>Summary!E192</f>
        <v>4.8974358974358978</v>
      </c>
      <c r="F112" s="32">
        <f>Summary!F192</f>
        <v>4.0222222222222221</v>
      </c>
      <c r="G112" s="32">
        <f>Summary!G192</f>
        <v>5</v>
      </c>
      <c r="H112" s="32">
        <f>Summary!H192</f>
        <v>5</v>
      </c>
      <c r="I112" s="32">
        <f>Summary!I192</f>
        <v>5</v>
      </c>
      <c r="J112" t="s">
        <v>165</v>
      </c>
    </row>
    <row r="113" spans="1:10" x14ac:dyDescent="0.3">
      <c r="A113" t="s">
        <v>123</v>
      </c>
      <c r="B113" s="32">
        <f>Summary!B191</f>
        <v>3</v>
      </c>
      <c r="C113" s="32">
        <f>Summary!C191</f>
        <v>3.7007751937984503</v>
      </c>
      <c r="D113" s="32">
        <f>Summary!D191</f>
        <v>3.6666666666666665</v>
      </c>
      <c r="E113" s="32">
        <f>Summary!E191</f>
        <v>4.6923076923076925</v>
      </c>
      <c r="F113" s="32">
        <f>Summary!F191</f>
        <v>3.9644444444444442</v>
      </c>
      <c r="G113" s="32">
        <f>Summary!G191</f>
        <v>5</v>
      </c>
      <c r="H113" s="32">
        <f>Summary!H191</f>
        <v>3.666666666666667</v>
      </c>
      <c r="I113" s="32">
        <f>Summary!I191</f>
        <v>5</v>
      </c>
      <c r="J113" t="s">
        <v>165</v>
      </c>
    </row>
    <row r="114" spans="1:10" x14ac:dyDescent="0.3">
      <c r="A114" s="13" t="s">
        <v>124</v>
      </c>
      <c r="B114" s="32">
        <f>Summary!B192</f>
        <v>2.1111111111111107</v>
      </c>
      <c r="C114" s="32">
        <f>Summary!C192</f>
        <v>3.7007751937984503</v>
      </c>
      <c r="D114" s="32">
        <f>Summary!D192</f>
        <v>3.6666666666666665</v>
      </c>
      <c r="E114" s="32">
        <f>Summary!E192</f>
        <v>4.8974358974358978</v>
      </c>
      <c r="F114" s="32">
        <f>Summary!F192</f>
        <v>4.0222222222222221</v>
      </c>
      <c r="G114" s="32">
        <f>Summary!G192</f>
        <v>5</v>
      </c>
      <c r="H114" s="32">
        <f>Summary!H192</f>
        <v>5</v>
      </c>
      <c r="I114" s="32">
        <f>Summary!I192</f>
        <v>5</v>
      </c>
      <c r="J114" t="s">
        <v>165</v>
      </c>
    </row>
    <row r="115" spans="1:10" x14ac:dyDescent="0.3">
      <c r="A115" t="s">
        <v>125</v>
      </c>
      <c r="B115" s="32">
        <f>Summary!B193</f>
        <v>3</v>
      </c>
      <c r="C115" s="32">
        <f>Summary!C193</f>
        <v>3.7007751937984503</v>
      </c>
      <c r="D115" s="32">
        <f>Summary!D193</f>
        <v>3</v>
      </c>
      <c r="E115" s="32">
        <f>Summary!E193</f>
        <v>3.1538461538461537</v>
      </c>
      <c r="F115" s="32">
        <f>Summary!F193</f>
        <v>0.83111111111111047</v>
      </c>
      <c r="G115" s="32">
        <f>Summary!G193</f>
        <v>5</v>
      </c>
      <c r="H115" s="32">
        <f>Summary!H193</f>
        <v>5</v>
      </c>
      <c r="I115" s="32">
        <f>Summary!I193</f>
        <v>5</v>
      </c>
      <c r="J115" t="s">
        <v>165</v>
      </c>
    </row>
    <row r="116" spans="1:10" x14ac:dyDescent="0.3">
      <c r="A116" t="s">
        <v>126</v>
      </c>
      <c r="B116" s="32">
        <f>Summary!B194</f>
        <v>3</v>
      </c>
      <c r="C116" s="32">
        <f>Summary!C194</f>
        <v>3.7007751937984503</v>
      </c>
      <c r="D116" s="32">
        <f>Summary!D194</f>
        <v>3.6666666666666665</v>
      </c>
      <c r="E116" s="32">
        <f>Summary!E194</f>
        <v>4.8974358974358978</v>
      </c>
      <c r="F116" s="32">
        <f>Summary!F194</f>
        <v>3.8822222222222225</v>
      </c>
      <c r="G116" s="32">
        <f>Summary!G194</f>
        <v>4.666666666666667</v>
      </c>
      <c r="H116" s="32">
        <f>Summary!H194</f>
        <v>5</v>
      </c>
      <c r="I116" s="32">
        <f>Summary!I194</f>
        <v>5</v>
      </c>
      <c r="J116" t="s">
        <v>165</v>
      </c>
    </row>
    <row r="117" spans="1:10" x14ac:dyDescent="0.3">
      <c r="A117" t="s">
        <v>127</v>
      </c>
      <c r="B117" s="32">
        <f>Summary!B195</f>
        <v>3</v>
      </c>
      <c r="C117" s="32">
        <f>Summary!C195</f>
        <v>3.7007751937984503</v>
      </c>
      <c r="D117" s="32">
        <f>Summary!D195</f>
        <v>3.6666666666666665</v>
      </c>
      <c r="E117" s="32">
        <f>Summary!E195</f>
        <v>3.9743589743589745</v>
      </c>
      <c r="F117" s="32">
        <f>Summary!F195</f>
        <v>2.7199999999999998</v>
      </c>
      <c r="G117" s="32">
        <f>Summary!G195</f>
        <v>5</v>
      </c>
      <c r="H117" s="32">
        <f>Summary!H195</f>
        <v>5</v>
      </c>
      <c r="I117" s="32">
        <f>Summary!I195</f>
        <v>1</v>
      </c>
      <c r="J117" t="s">
        <v>165</v>
      </c>
    </row>
    <row r="118" spans="1:10" x14ac:dyDescent="0.3">
      <c r="A118" t="s">
        <v>128</v>
      </c>
      <c r="B118" s="32">
        <f>Summary!B196</f>
        <v>1</v>
      </c>
      <c r="C118" s="32">
        <f>Summary!C196</f>
        <v>0</v>
      </c>
      <c r="D118" s="32">
        <f>Summary!D196</f>
        <v>4.3333333333333339</v>
      </c>
      <c r="E118" s="32">
        <f>Summary!E196</f>
        <v>4.8974358974358978</v>
      </c>
      <c r="F118" s="32">
        <f>Summary!F196</f>
        <v>3.8177777777777777</v>
      </c>
      <c r="G118" s="32">
        <f>Summary!G196</f>
        <v>1.6666666666666665</v>
      </c>
      <c r="H118" s="32">
        <f>Summary!H196</f>
        <v>5</v>
      </c>
      <c r="I118" s="32">
        <f>Summary!I196</f>
        <v>5</v>
      </c>
      <c r="J118" t="s">
        <v>165</v>
      </c>
    </row>
    <row r="119" spans="1:10" x14ac:dyDescent="0.3">
      <c r="A119" t="s">
        <v>129</v>
      </c>
      <c r="B119" s="32">
        <f>Summary!B197</f>
        <v>2.333333333333333</v>
      </c>
      <c r="C119" s="32">
        <f>Summary!C197</f>
        <v>3.9519379844961247</v>
      </c>
      <c r="D119" s="32">
        <f>Summary!D197</f>
        <v>3</v>
      </c>
      <c r="E119" s="32">
        <f>Summary!E197</f>
        <v>4.8974358974358978</v>
      </c>
      <c r="F119" s="32">
        <f>Summary!F197</f>
        <v>3.0777777777777775</v>
      </c>
      <c r="G119" s="32">
        <f>Summary!G197</f>
        <v>5</v>
      </c>
      <c r="H119" s="32">
        <f>Summary!H197</f>
        <v>5</v>
      </c>
      <c r="I119" s="32">
        <f>Summary!I197</f>
        <v>5</v>
      </c>
      <c r="J119" t="s">
        <v>165</v>
      </c>
    </row>
    <row r="120" spans="1:10" x14ac:dyDescent="0.3">
      <c r="A120" t="s">
        <v>130</v>
      </c>
      <c r="B120" s="32">
        <f>Summary!B198</f>
        <v>1</v>
      </c>
      <c r="C120" s="32">
        <f>Summary!C198</f>
        <v>2.6434108527131785</v>
      </c>
      <c r="D120" s="32">
        <f>Summary!D198</f>
        <v>5</v>
      </c>
      <c r="E120" s="32">
        <f>Summary!E198</f>
        <v>4.8974358974358978</v>
      </c>
      <c r="F120" s="32">
        <f>Summary!F198</f>
        <v>4.6288888888888886</v>
      </c>
      <c r="G120" s="32">
        <f>Summary!G198</f>
        <v>5</v>
      </c>
      <c r="H120" s="32">
        <f>Summary!H198</f>
        <v>5</v>
      </c>
      <c r="I120" s="32">
        <f>Summary!I198</f>
        <v>5</v>
      </c>
      <c r="J120" t="s">
        <v>165</v>
      </c>
    </row>
    <row r="121" spans="1:10" x14ac:dyDescent="0.3">
      <c r="A121" t="s">
        <v>131</v>
      </c>
      <c r="B121" s="32">
        <f>Summary!B199</f>
        <v>3</v>
      </c>
      <c r="C121" s="32">
        <f>Summary!C199</f>
        <v>3.7007751937984503</v>
      </c>
      <c r="D121" s="32">
        <f>Summary!D199</f>
        <v>3.6666666666666665</v>
      </c>
      <c r="E121" s="32">
        <f>Summary!E199</f>
        <v>4.8974358974358978</v>
      </c>
      <c r="F121" s="32">
        <f>Summary!F199</f>
        <v>3.8844444444444441</v>
      </c>
      <c r="G121" s="32">
        <f>Summary!G199</f>
        <v>4.833333333333333</v>
      </c>
      <c r="H121" s="32">
        <f>Summary!H199</f>
        <v>5</v>
      </c>
      <c r="I121" s="32">
        <f>Summary!I199</f>
        <v>5</v>
      </c>
      <c r="J121" t="s">
        <v>165</v>
      </c>
    </row>
    <row r="122" spans="1:10" x14ac:dyDescent="0.3">
      <c r="A122" t="s">
        <v>122</v>
      </c>
      <c r="B122" s="32">
        <f>Summary!B203</f>
        <v>2.1111111111111107</v>
      </c>
      <c r="C122" s="32">
        <f>Summary!C203</f>
        <v>3.73030303030303</v>
      </c>
      <c r="D122" s="32">
        <f>Summary!D203</f>
        <v>3.6666666666666665</v>
      </c>
      <c r="E122" s="32">
        <f>Summary!E203</f>
        <v>4.8974358974358978</v>
      </c>
      <c r="F122" s="32">
        <f>Summary!F203</f>
        <v>3.9555555555555557</v>
      </c>
      <c r="G122" s="32">
        <f>Summary!G203</f>
        <v>5</v>
      </c>
      <c r="H122" s="32">
        <f>Summary!H203</f>
        <v>5</v>
      </c>
      <c r="I122" s="32">
        <f>Summary!I203</f>
        <v>5</v>
      </c>
      <c r="J122" t="s">
        <v>166</v>
      </c>
    </row>
    <row r="123" spans="1:10" x14ac:dyDescent="0.3">
      <c r="A123" t="s">
        <v>123</v>
      </c>
      <c r="B123" s="32">
        <f>Summary!B202</f>
        <v>3</v>
      </c>
      <c r="C123" s="32">
        <f>Summary!C202</f>
        <v>3.73030303030303</v>
      </c>
      <c r="D123" s="32">
        <f>Summary!D202</f>
        <v>3.6666666666666665</v>
      </c>
      <c r="E123" s="32">
        <f>Summary!E202</f>
        <v>4.6923076923076925</v>
      </c>
      <c r="F123" s="32">
        <f>Summary!F202</f>
        <v>3.8977777777777778</v>
      </c>
      <c r="G123" s="32">
        <f>Summary!G202</f>
        <v>5</v>
      </c>
      <c r="H123" s="32">
        <f>Summary!H202</f>
        <v>3.666666666666667</v>
      </c>
      <c r="I123" s="32">
        <f>Summary!I202</f>
        <v>5</v>
      </c>
      <c r="J123" t="s">
        <v>166</v>
      </c>
    </row>
    <row r="124" spans="1:10" x14ac:dyDescent="0.3">
      <c r="A124" s="13" t="s">
        <v>124</v>
      </c>
      <c r="B124" s="32">
        <f>Summary!B203</f>
        <v>2.1111111111111107</v>
      </c>
      <c r="C124" s="32">
        <f>Summary!C203</f>
        <v>3.73030303030303</v>
      </c>
      <c r="D124" s="32">
        <f>Summary!D203</f>
        <v>3.6666666666666665</v>
      </c>
      <c r="E124" s="32">
        <f>Summary!E203</f>
        <v>4.8974358974358978</v>
      </c>
      <c r="F124" s="32">
        <f>Summary!F203</f>
        <v>3.9555555555555557</v>
      </c>
      <c r="G124" s="32">
        <f>Summary!G203</f>
        <v>5</v>
      </c>
      <c r="H124" s="32">
        <f>Summary!H203</f>
        <v>5</v>
      </c>
      <c r="I124" s="32">
        <f>Summary!I203</f>
        <v>5</v>
      </c>
      <c r="J124" t="s">
        <v>166</v>
      </c>
    </row>
    <row r="125" spans="1:10" x14ac:dyDescent="0.3">
      <c r="A125" t="s">
        <v>125</v>
      </c>
      <c r="B125" s="32">
        <f>Summary!B204</f>
        <v>3</v>
      </c>
      <c r="C125" s="32">
        <f>Summary!C204</f>
        <v>3.73030303030303</v>
      </c>
      <c r="D125" s="32">
        <f>Summary!D204</f>
        <v>3</v>
      </c>
      <c r="E125" s="32">
        <f>Summary!E204</f>
        <v>4.0769230769230766</v>
      </c>
      <c r="F125" s="32">
        <f>Summary!F204</f>
        <v>2.1644444444444439</v>
      </c>
      <c r="G125" s="32">
        <f>Summary!G204</f>
        <v>5</v>
      </c>
      <c r="H125" s="32">
        <f>Summary!H204</f>
        <v>5</v>
      </c>
      <c r="I125" s="32">
        <f>Summary!I204</f>
        <v>5</v>
      </c>
      <c r="J125" t="s">
        <v>166</v>
      </c>
    </row>
    <row r="126" spans="1:10" x14ac:dyDescent="0.3">
      <c r="A126" t="s">
        <v>126</v>
      </c>
      <c r="B126" s="32">
        <f>Summary!B205</f>
        <v>3</v>
      </c>
      <c r="C126" s="32">
        <f>Summary!C205</f>
        <v>3.73030303030303</v>
      </c>
      <c r="D126" s="32">
        <f>Summary!D205</f>
        <v>4.3333333333333339</v>
      </c>
      <c r="E126" s="32">
        <f>Summary!E205</f>
        <v>4.8974358974358978</v>
      </c>
      <c r="F126" s="32">
        <f>Summary!F205</f>
        <v>4.4000000000000004</v>
      </c>
      <c r="G126" s="32">
        <f>Summary!G205</f>
        <v>4.666666666666667</v>
      </c>
      <c r="H126" s="32">
        <f>Summary!H205</f>
        <v>5</v>
      </c>
      <c r="I126" s="32">
        <f>Summary!I205</f>
        <v>5</v>
      </c>
      <c r="J126" t="s">
        <v>166</v>
      </c>
    </row>
    <row r="127" spans="1:10" x14ac:dyDescent="0.3">
      <c r="A127" t="s">
        <v>127</v>
      </c>
      <c r="B127" s="32">
        <f>Summary!B206</f>
        <v>3</v>
      </c>
      <c r="C127" s="32">
        <f>Summary!C206</f>
        <v>3.73030303030303</v>
      </c>
      <c r="D127" s="32">
        <f>Summary!D206</f>
        <v>3.6666666666666665</v>
      </c>
      <c r="E127" s="32">
        <f>Summary!E206</f>
        <v>4.8974358974358978</v>
      </c>
      <c r="F127" s="32">
        <f>Summary!F206</f>
        <v>4.0533333333333328</v>
      </c>
      <c r="G127" s="32">
        <f>Summary!G206</f>
        <v>5</v>
      </c>
      <c r="H127" s="32">
        <f>Summary!H206</f>
        <v>5</v>
      </c>
      <c r="I127" s="32">
        <f>Summary!I206</f>
        <v>1</v>
      </c>
      <c r="J127" t="s">
        <v>166</v>
      </c>
    </row>
    <row r="128" spans="1:10" x14ac:dyDescent="0.3">
      <c r="A128" t="s">
        <v>128</v>
      </c>
      <c r="B128" s="32">
        <f>Summary!B207</f>
        <v>1</v>
      </c>
      <c r="C128" s="32">
        <f>Summary!C207</f>
        <v>0</v>
      </c>
      <c r="D128" s="32">
        <f>Summary!D207</f>
        <v>4.3333333333333339</v>
      </c>
      <c r="E128" s="32">
        <f>Summary!E207</f>
        <v>4.8974358974358978</v>
      </c>
      <c r="F128" s="32">
        <f>Summary!F207</f>
        <v>3.8177777777777777</v>
      </c>
      <c r="G128" s="32">
        <f>Summary!G207</f>
        <v>1.6666666666666665</v>
      </c>
      <c r="H128" s="32">
        <f>Summary!H207</f>
        <v>5</v>
      </c>
      <c r="I128" s="32">
        <f>Summary!I207</f>
        <v>5</v>
      </c>
      <c r="J128" t="s">
        <v>166</v>
      </c>
    </row>
    <row r="129" spans="1:10" x14ac:dyDescent="0.3">
      <c r="A129" t="s">
        <v>129</v>
      </c>
      <c r="B129" s="32">
        <f>Summary!B208</f>
        <v>2.333333333333333</v>
      </c>
      <c r="C129" s="32">
        <f>Summary!C208</f>
        <v>3.9757575757575752</v>
      </c>
      <c r="D129" s="32">
        <f>Summary!D208</f>
        <v>3</v>
      </c>
      <c r="E129" s="32">
        <f>Summary!E208</f>
        <v>4.8974358974358978</v>
      </c>
      <c r="F129" s="32">
        <f>Summary!F208</f>
        <v>3.0244444444444447</v>
      </c>
      <c r="G129" s="32">
        <f>Summary!G208</f>
        <v>5</v>
      </c>
      <c r="H129" s="32">
        <f>Summary!H208</f>
        <v>5</v>
      </c>
      <c r="I129" s="32">
        <f>Summary!I208</f>
        <v>5</v>
      </c>
      <c r="J129" t="s">
        <v>166</v>
      </c>
    </row>
    <row r="130" spans="1:10" x14ac:dyDescent="0.3">
      <c r="A130" t="s">
        <v>130</v>
      </c>
      <c r="B130" s="32">
        <f>Summary!B209</f>
        <v>1</v>
      </c>
      <c r="C130" s="32">
        <f>Summary!C209</f>
        <v>2.6969696969696964</v>
      </c>
      <c r="D130" s="32">
        <f>Summary!D209</f>
        <v>5</v>
      </c>
      <c r="E130" s="32">
        <f>Summary!E209</f>
        <v>4.8974358974358978</v>
      </c>
      <c r="F130" s="32">
        <f>Summary!F209</f>
        <v>4.6288888888888886</v>
      </c>
      <c r="G130" s="32">
        <f>Summary!G209</f>
        <v>5</v>
      </c>
      <c r="H130" s="32">
        <f>Summary!H209</f>
        <v>5</v>
      </c>
      <c r="I130" s="32">
        <f>Summary!I209</f>
        <v>5</v>
      </c>
      <c r="J130" t="s">
        <v>166</v>
      </c>
    </row>
    <row r="131" spans="1:10" x14ac:dyDescent="0.3">
      <c r="A131" t="s">
        <v>131</v>
      </c>
      <c r="B131" s="32">
        <f>Summary!B210</f>
        <v>3</v>
      </c>
      <c r="C131" s="32">
        <f>Summary!C210</f>
        <v>3.73030303030303</v>
      </c>
      <c r="D131" s="32">
        <f>Summary!D210</f>
        <v>3.6666666666666665</v>
      </c>
      <c r="E131" s="32">
        <f>Summary!E210</f>
        <v>4.8974358974358978</v>
      </c>
      <c r="F131" s="32">
        <f>Summary!F210</f>
        <v>4.0244444444444447</v>
      </c>
      <c r="G131" s="32">
        <f>Summary!G210</f>
        <v>4.833333333333333</v>
      </c>
      <c r="H131" s="32">
        <f>Summary!H210</f>
        <v>5</v>
      </c>
      <c r="I131" s="32">
        <f>Summary!I210</f>
        <v>5</v>
      </c>
      <c r="J131" t="s">
        <v>166</v>
      </c>
    </row>
    <row r="132" spans="1:10" x14ac:dyDescent="0.3">
      <c r="A132" t="s">
        <v>122</v>
      </c>
      <c r="B132" s="32">
        <f>Summary!B214</f>
        <v>2.1111111111111107</v>
      </c>
      <c r="C132" s="32">
        <f>Summary!C214</f>
        <v>3.7792592592592635</v>
      </c>
      <c r="D132" s="32">
        <f>Summary!D214</f>
        <v>4.3333333333333339</v>
      </c>
      <c r="E132" s="32">
        <f>Summary!E214</f>
        <v>4.8974358974358978</v>
      </c>
      <c r="F132" s="32">
        <f>Summary!F214</f>
        <v>3.8177777777777777</v>
      </c>
      <c r="G132" s="32">
        <f>Summary!G214</f>
        <v>5</v>
      </c>
      <c r="H132" s="32">
        <f>Summary!H214</f>
        <v>5</v>
      </c>
      <c r="I132" s="32">
        <f>Summary!I214</f>
        <v>5</v>
      </c>
      <c r="J132" t="s">
        <v>167</v>
      </c>
    </row>
    <row r="133" spans="1:10" x14ac:dyDescent="0.3">
      <c r="A133" t="s">
        <v>123</v>
      </c>
      <c r="B133" s="32">
        <f>Summary!B213</f>
        <v>3</v>
      </c>
      <c r="C133" s="32">
        <f>Summary!C213</f>
        <v>3.7585185185185228</v>
      </c>
      <c r="D133" s="32">
        <f>Summary!D213</f>
        <v>3.6666666666666665</v>
      </c>
      <c r="E133" s="32">
        <f>Summary!E213</f>
        <v>4.6923076923076925</v>
      </c>
      <c r="F133" s="32">
        <f>Summary!F213</f>
        <v>3.8311111111111109</v>
      </c>
      <c r="G133" s="32">
        <f>Summary!G213</f>
        <v>5</v>
      </c>
      <c r="H133" s="32">
        <f>Summary!H213</f>
        <v>3.666666666666667</v>
      </c>
      <c r="I133" s="32">
        <f>Summary!I213</f>
        <v>5</v>
      </c>
      <c r="J133" t="s">
        <v>167</v>
      </c>
    </row>
    <row r="134" spans="1:10" x14ac:dyDescent="0.3">
      <c r="A134" s="13" t="s">
        <v>124</v>
      </c>
      <c r="B134" s="32">
        <f>Summary!B214</f>
        <v>2.1111111111111107</v>
      </c>
      <c r="C134" s="32">
        <f>Summary!C214</f>
        <v>3.7792592592592635</v>
      </c>
      <c r="D134" s="32">
        <f>Summary!D214</f>
        <v>4.3333333333333339</v>
      </c>
      <c r="E134" s="32">
        <f>Summary!E214</f>
        <v>4.8974358974358978</v>
      </c>
      <c r="F134" s="32">
        <f>Summary!F214</f>
        <v>3.8177777777777777</v>
      </c>
      <c r="G134" s="32">
        <f>Summary!G214</f>
        <v>5</v>
      </c>
      <c r="H134" s="32">
        <f>Summary!H214</f>
        <v>5</v>
      </c>
      <c r="I134" s="32">
        <f>Summary!I214</f>
        <v>5</v>
      </c>
      <c r="J134" t="s">
        <v>167</v>
      </c>
    </row>
    <row r="135" spans="1:10" x14ac:dyDescent="0.3">
      <c r="A135" t="s">
        <v>125</v>
      </c>
      <c r="B135" s="32">
        <f>Summary!B215</f>
        <v>3</v>
      </c>
      <c r="C135" s="32">
        <f>Summary!C215</f>
        <v>3.7585185185185228</v>
      </c>
      <c r="D135" s="32">
        <f>Summary!D215</f>
        <v>3.6666666666666665</v>
      </c>
      <c r="E135" s="32">
        <f>Summary!E215</f>
        <v>4.0769230769230766</v>
      </c>
      <c r="F135" s="32">
        <f>Summary!F215</f>
        <v>2.6622222222222218</v>
      </c>
      <c r="G135" s="32">
        <f>Summary!G215</f>
        <v>5</v>
      </c>
      <c r="H135" s="32">
        <f>Summary!H215</f>
        <v>5</v>
      </c>
      <c r="I135" s="32">
        <f>Summary!I215</f>
        <v>5</v>
      </c>
      <c r="J135" t="s">
        <v>167</v>
      </c>
    </row>
    <row r="136" spans="1:10" x14ac:dyDescent="0.3">
      <c r="A136" t="s">
        <v>126</v>
      </c>
      <c r="B136" s="32">
        <f>Summary!B216</f>
        <v>3</v>
      </c>
      <c r="C136" s="32">
        <f>Summary!C216</f>
        <v>3.7585185185185228</v>
      </c>
      <c r="D136" s="32">
        <f>Summary!D216</f>
        <v>3.6666666666666665</v>
      </c>
      <c r="E136" s="32">
        <f>Summary!E216</f>
        <v>4.8974358974358978</v>
      </c>
      <c r="F136" s="32">
        <f>Summary!F216</f>
        <v>4.3422222222222224</v>
      </c>
      <c r="G136" s="32">
        <f>Summary!G216</f>
        <v>4.666666666666667</v>
      </c>
      <c r="H136" s="32">
        <f>Summary!H216</f>
        <v>5</v>
      </c>
      <c r="I136" s="32">
        <f>Summary!I216</f>
        <v>5</v>
      </c>
      <c r="J136" t="s">
        <v>167</v>
      </c>
    </row>
    <row r="137" spans="1:10" x14ac:dyDescent="0.3">
      <c r="A137" t="s">
        <v>127</v>
      </c>
      <c r="B137" s="32">
        <f>Summary!B217</f>
        <v>3</v>
      </c>
      <c r="C137" s="32">
        <f>Summary!C217</f>
        <v>3.7585185185185228</v>
      </c>
      <c r="D137" s="32">
        <f>Summary!D217</f>
        <v>4.3333333333333339</v>
      </c>
      <c r="E137" s="32">
        <f>Summary!E217</f>
        <v>4.8974358974358978</v>
      </c>
      <c r="F137" s="32">
        <f>Summary!F217</f>
        <v>4.5511111111111111</v>
      </c>
      <c r="G137" s="32">
        <f>Summary!G217</f>
        <v>5</v>
      </c>
      <c r="H137" s="32">
        <f>Summary!H217</f>
        <v>5</v>
      </c>
      <c r="I137" s="32">
        <f>Summary!I217</f>
        <v>1</v>
      </c>
      <c r="J137" t="s">
        <v>167</v>
      </c>
    </row>
    <row r="138" spans="1:10" x14ac:dyDescent="0.3">
      <c r="A138" t="s">
        <v>128</v>
      </c>
      <c r="B138" s="32">
        <f>Summary!B218</f>
        <v>1</v>
      </c>
      <c r="C138" s="32">
        <f>Summary!C218</f>
        <v>0</v>
      </c>
      <c r="D138" s="32">
        <f>Summary!D218</f>
        <v>4.3333333333333339</v>
      </c>
      <c r="E138" s="32">
        <f>Summary!E218</f>
        <v>4.8974358974358978</v>
      </c>
      <c r="F138" s="32">
        <f>Summary!F218</f>
        <v>3.8177777777777777</v>
      </c>
      <c r="G138" s="32">
        <f>Summary!G218</f>
        <v>1.6666666666666665</v>
      </c>
      <c r="H138" s="32">
        <f>Summary!H218</f>
        <v>5</v>
      </c>
      <c r="I138" s="32">
        <f>Summary!I218</f>
        <v>5</v>
      </c>
      <c r="J138" t="s">
        <v>167</v>
      </c>
    </row>
    <row r="139" spans="1:10" x14ac:dyDescent="0.3">
      <c r="A139" t="s">
        <v>129</v>
      </c>
      <c r="B139" s="32">
        <f>Summary!B219</f>
        <v>2.333333333333333</v>
      </c>
      <c r="C139" s="32">
        <f>Summary!C219</f>
        <v>3.998518518518523</v>
      </c>
      <c r="D139" s="32">
        <f>Summary!D219</f>
        <v>3</v>
      </c>
      <c r="E139" s="32">
        <f>Summary!E219</f>
        <v>4.8974358974358978</v>
      </c>
      <c r="F139" s="32">
        <f>Summary!F219</f>
        <v>2.9133333333333331</v>
      </c>
      <c r="G139" s="32">
        <f>Summary!G219</f>
        <v>5</v>
      </c>
      <c r="H139" s="32">
        <f>Summary!H219</f>
        <v>5</v>
      </c>
      <c r="I139" s="32">
        <f>Summary!I219</f>
        <v>5</v>
      </c>
      <c r="J139" t="s">
        <v>167</v>
      </c>
    </row>
    <row r="140" spans="1:10" x14ac:dyDescent="0.3">
      <c r="A140" t="s">
        <v>130</v>
      </c>
      <c r="B140" s="32">
        <f>Summary!B220</f>
        <v>1</v>
      </c>
      <c r="C140" s="32">
        <f>Summary!C220</f>
        <v>2.748148148148152</v>
      </c>
      <c r="D140" s="32">
        <f>Summary!D220</f>
        <v>5</v>
      </c>
      <c r="E140" s="32">
        <f>Summary!E220</f>
        <v>4.8974358974358978</v>
      </c>
      <c r="F140" s="32">
        <f>Summary!F220</f>
        <v>4.6288888888888886</v>
      </c>
      <c r="G140" s="32">
        <f>Summary!G220</f>
        <v>5</v>
      </c>
      <c r="H140" s="32">
        <f>Summary!H220</f>
        <v>5</v>
      </c>
      <c r="I140" s="32">
        <f>Summary!I220</f>
        <v>5</v>
      </c>
      <c r="J140" t="s">
        <v>167</v>
      </c>
    </row>
    <row r="141" spans="1:10" x14ac:dyDescent="0.3">
      <c r="A141" t="s">
        <v>131</v>
      </c>
      <c r="B141" s="32">
        <f>Summary!B221</f>
        <v>3</v>
      </c>
      <c r="C141" s="32">
        <f>Summary!C221</f>
        <v>3.7585185185185228</v>
      </c>
      <c r="D141" s="32">
        <f>Summary!D221</f>
        <v>3.6666666666666665</v>
      </c>
      <c r="E141" s="32">
        <f>Summary!E221</f>
        <v>4.8974358974358978</v>
      </c>
      <c r="F141" s="32">
        <f>Summary!F221</f>
        <v>3.9666666666666668</v>
      </c>
      <c r="G141" s="32">
        <f>Summary!G221</f>
        <v>4.833333333333333</v>
      </c>
      <c r="H141" s="32">
        <f>Summary!H221</f>
        <v>5</v>
      </c>
      <c r="I141" s="32">
        <f>Summary!I221</f>
        <v>5</v>
      </c>
      <c r="J141" t="s">
        <v>167</v>
      </c>
    </row>
    <row r="142" spans="1:10" x14ac:dyDescent="0.3">
      <c r="A142" t="s">
        <v>122</v>
      </c>
      <c r="B142" s="32">
        <f>Summary!B225</f>
        <v>2.1111111111111107</v>
      </c>
      <c r="C142" s="32">
        <f>Summary!C225</f>
        <v>3.0555555555555554</v>
      </c>
      <c r="D142" s="32">
        <f>Summary!D225</f>
        <v>5</v>
      </c>
      <c r="E142" s="32">
        <f>Summary!E225</f>
        <v>4.8974358974358978</v>
      </c>
      <c r="F142" s="32">
        <f>Summary!F225</f>
        <v>4.6288888888888886</v>
      </c>
      <c r="G142" s="32">
        <f>Summary!G225</f>
        <v>5</v>
      </c>
      <c r="H142" s="32">
        <f>Summary!H225</f>
        <v>5</v>
      </c>
      <c r="I142" s="32">
        <f>Summary!I225</f>
        <v>5</v>
      </c>
      <c r="J142" t="s">
        <v>168</v>
      </c>
    </row>
    <row r="143" spans="1:10" x14ac:dyDescent="0.3">
      <c r="A143" t="s">
        <v>123</v>
      </c>
      <c r="B143" s="32">
        <f>Summary!B224</f>
        <v>3</v>
      </c>
      <c r="C143" s="32">
        <f>Summary!C224</f>
        <v>3.0555555555555554</v>
      </c>
      <c r="D143" s="32">
        <f>Summary!D224</f>
        <v>5</v>
      </c>
      <c r="E143" s="32">
        <f>Summary!E224</f>
        <v>4.6923076923076925</v>
      </c>
      <c r="F143" s="32">
        <f>Summary!F224</f>
        <v>4.4733333333333336</v>
      </c>
      <c r="G143" s="32">
        <f>Summary!G224</f>
        <v>5</v>
      </c>
      <c r="H143" s="32">
        <f>Summary!H224</f>
        <v>3.666666666666667</v>
      </c>
      <c r="I143" s="32">
        <f>Summary!I224</f>
        <v>5</v>
      </c>
      <c r="J143" t="s">
        <v>168</v>
      </c>
    </row>
    <row r="144" spans="1:10" x14ac:dyDescent="0.3">
      <c r="A144" s="13" t="s">
        <v>124</v>
      </c>
      <c r="B144" s="32">
        <f>Summary!B225</f>
        <v>2.1111111111111107</v>
      </c>
      <c r="C144" s="32">
        <f>Summary!C225</f>
        <v>3.0555555555555554</v>
      </c>
      <c r="D144" s="32">
        <f>Summary!D225</f>
        <v>5</v>
      </c>
      <c r="E144" s="32">
        <f>Summary!E225</f>
        <v>4.8974358974358978</v>
      </c>
      <c r="F144" s="32">
        <f>Summary!F225</f>
        <v>4.6288888888888886</v>
      </c>
      <c r="G144" s="32">
        <f>Summary!G225</f>
        <v>5</v>
      </c>
      <c r="H144" s="32">
        <f>Summary!H225</f>
        <v>5</v>
      </c>
      <c r="I144" s="32">
        <f>Summary!I225</f>
        <v>5</v>
      </c>
      <c r="J144" t="s">
        <v>168</v>
      </c>
    </row>
    <row r="145" spans="1:10" x14ac:dyDescent="0.3">
      <c r="A145" t="s">
        <v>125</v>
      </c>
      <c r="B145" s="32">
        <f>Summary!B226</f>
        <v>3</v>
      </c>
      <c r="C145" s="32">
        <f>Summary!C226</f>
        <v>3.0555555555555554</v>
      </c>
      <c r="D145" s="32">
        <f>Summary!D226</f>
        <v>4.3333333333333339</v>
      </c>
      <c r="E145" s="32">
        <f>Summary!E226</f>
        <v>4.0769230769230766</v>
      </c>
      <c r="F145" s="32">
        <f>Summary!F226</f>
        <v>2.7399999999999998</v>
      </c>
      <c r="G145" s="32">
        <f>Summary!G226</f>
        <v>5</v>
      </c>
      <c r="H145" s="32">
        <f>Summary!H226</f>
        <v>5</v>
      </c>
      <c r="I145" s="32">
        <f>Summary!I226</f>
        <v>5</v>
      </c>
      <c r="J145" t="s">
        <v>168</v>
      </c>
    </row>
    <row r="146" spans="1:10" x14ac:dyDescent="0.3">
      <c r="A146" t="s">
        <v>126</v>
      </c>
      <c r="B146" s="32">
        <f>Summary!B227</f>
        <v>3</v>
      </c>
      <c r="C146" s="32">
        <f>Summary!C227</f>
        <v>3.7944444444444443</v>
      </c>
      <c r="D146" s="32">
        <f>Summary!D227</f>
        <v>4.3333333333333339</v>
      </c>
      <c r="E146" s="32">
        <f>Summary!E227</f>
        <v>4.8974358974358978</v>
      </c>
      <c r="F146" s="32">
        <f>Summary!F227</f>
        <v>4.1822222222222223</v>
      </c>
      <c r="G146" s="32">
        <f>Summary!G227</f>
        <v>4.666666666666667</v>
      </c>
      <c r="H146" s="32">
        <f>Summary!H227</f>
        <v>5</v>
      </c>
      <c r="I146" s="32">
        <f>Summary!I227</f>
        <v>5</v>
      </c>
      <c r="J146" t="s">
        <v>168</v>
      </c>
    </row>
    <row r="147" spans="1:10" x14ac:dyDescent="0.3">
      <c r="A147" t="s">
        <v>127</v>
      </c>
      <c r="B147" s="32">
        <f>Summary!B228</f>
        <v>3</v>
      </c>
      <c r="C147" s="32">
        <f>Summary!C228</f>
        <v>3.0555555555555554</v>
      </c>
      <c r="D147" s="32">
        <f>Summary!D228</f>
        <v>5</v>
      </c>
      <c r="E147" s="32">
        <f>Summary!E228</f>
        <v>4.8974358974358978</v>
      </c>
      <c r="F147" s="32">
        <f>Summary!F228</f>
        <v>4.6288888888888886</v>
      </c>
      <c r="G147" s="32">
        <f>Summary!G228</f>
        <v>5</v>
      </c>
      <c r="H147" s="32">
        <f>Summary!H228</f>
        <v>5</v>
      </c>
      <c r="I147" s="32">
        <f>Summary!I228</f>
        <v>1</v>
      </c>
      <c r="J147" t="s">
        <v>168</v>
      </c>
    </row>
    <row r="148" spans="1:10" x14ac:dyDescent="0.3">
      <c r="A148" t="s">
        <v>128</v>
      </c>
      <c r="B148" s="32">
        <f>Summary!B229</f>
        <v>1</v>
      </c>
      <c r="C148" s="32">
        <f>Summary!C229</f>
        <v>0</v>
      </c>
      <c r="D148" s="32">
        <f>Summary!D229</f>
        <v>5</v>
      </c>
      <c r="E148" s="32">
        <f>Summary!E229</f>
        <v>4.8974358974358978</v>
      </c>
      <c r="F148" s="32">
        <f>Summary!F229</f>
        <v>4.6288888888888886</v>
      </c>
      <c r="G148" s="32">
        <f>Summary!G229</f>
        <v>1.6666666666666665</v>
      </c>
      <c r="H148" s="32">
        <f>Summary!H229</f>
        <v>5</v>
      </c>
      <c r="I148" s="32">
        <f>Summary!I229</f>
        <v>5</v>
      </c>
      <c r="J148" t="s">
        <v>168</v>
      </c>
    </row>
    <row r="149" spans="1:10" x14ac:dyDescent="0.3">
      <c r="A149" t="s">
        <v>129</v>
      </c>
      <c r="B149" s="32">
        <f>Summary!B230</f>
        <v>2.333333333333333</v>
      </c>
      <c r="C149" s="32">
        <f>Summary!C230</f>
        <v>3.0694444444444442</v>
      </c>
      <c r="D149" s="32">
        <f>Summary!D230</f>
        <v>4.3333333333333339</v>
      </c>
      <c r="E149" s="32">
        <f>Summary!E230</f>
        <v>4.7948717948717947</v>
      </c>
      <c r="F149" s="32">
        <f>Summary!F230</f>
        <v>3.4844444444444447</v>
      </c>
      <c r="G149" s="32">
        <f>Summary!G230</f>
        <v>5</v>
      </c>
      <c r="H149" s="32">
        <f>Summary!H230</f>
        <v>5</v>
      </c>
      <c r="I149" s="32">
        <f>Summary!I230</f>
        <v>5</v>
      </c>
      <c r="J149" t="s">
        <v>168</v>
      </c>
    </row>
    <row r="150" spans="1:10" x14ac:dyDescent="0.3">
      <c r="A150" t="s">
        <v>130</v>
      </c>
      <c r="B150" s="32">
        <f>Summary!B231</f>
        <v>1</v>
      </c>
      <c r="C150" s="32">
        <f>Summary!C231</f>
        <v>3.0555555555555554</v>
      </c>
      <c r="D150" s="32">
        <f>Summary!D231</f>
        <v>5</v>
      </c>
      <c r="E150" s="32">
        <f>Summary!E231</f>
        <v>4.8974358974358978</v>
      </c>
      <c r="F150" s="32">
        <f>Summary!F231</f>
        <v>4.6288888888888886</v>
      </c>
      <c r="G150" s="32">
        <f>Summary!G231</f>
        <v>5</v>
      </c>
      <c r="H150" s="32">
        <f>Summary!H231</f>
        <v>5</v>
      </c>
      <c r="I150" s="32">
        <f>Summary!I231</f>
        <v>5</v>
      </c>
      <c r="J150" t="s">
        <v>168</v>
      </c>
    </row>
    <row r="151" spans="1:10" x14ac:dyDescent="0.3">
      <c r="A151" t="s">
        <v>131</v>
      </c>
      <c r="B151" s="32">
        <f>Summary!B232</f>
        <v>3</v>
      </c>
      <c r="C151" s="32">
        <f>Summary!C232</f>
        <v>3.8083333333333331</v>
      </c>
      <c r="D151" s="32">
        <f>Summary!D232</f>
        <v>4.3333333333333339</v>
      </c>
      <c r="E151" s="32">
        <f>Summary!E232</f>
        <v>4.8974358974358978</v>
      </c>
      <c r="F151" s="32">
        <f>Summary!F232</f>
        <v>4.1911111111111108</v>
      </c>
      <c r="G151" s="32">
        <f>Summary!G232</f>
        <v>4.833333333333333</v>
      </c>
      <c r="H151" s="32">
        <f>Summary!H232</f>
        <v>5</v>
      </c>
      <c r="I151" s="32">
        <f>Summary!I232</f>
        <v>5</v>
      </c>
      <c r="J151" t="s">
        <v>168</v>
      </c>
    </row>
    <row r="152" spans="1:10" x14ac:dyDescent="0.3">
      <c r="A152" t="s">
        <v>122</v>
      </c>
      <c r="B152" s="32">
        <f>Summary!B236</f>
        <v>2.1111111111111107</v>
      </c>
      <c r="C152" s="32">
        <f>Summary!C236</f>
        <v>3.4722222222222219</v>
      </c>
      <c r="D152" s="32">
        <f>Summary!D236</f>
        <v>5</v>
      </c>
      <c r="E152" s="32">
        <f>Summary!E236</f>
        <v>4.8974358974358978</v>
      </c>
      <c r="F152" s="32">
        <f>Summary!F236</f>
        <v>4.6288888888888886</v>
      </c>
      <c r="G152" s="32">
        <f>Summary!G236</f>
        <v>5</v>
      </c>
      <c r="H152" s="32">
        <f>Summary!H236</f>
        <v>5</v>
      </c>
      <c r="I152" s="32">
        <f>Summary!I236</f>
        <v>5</v>
      </c>
      <c r="J152" t="s">
        <v>169</v>
      </c>
    </row>
    <row r="153" spans="1:10" x14ac:dyDescent="0.3">
      <c r="A153" t="s">
        <v>123</v>
      </c>
      <c r="B153" s="32">
        <f>Summary!B235</f>
        <v>3</v>
      </c>
      <c r="C153" s="32">
        <f>Summary!C235</f>
        <v>3.4722222222222219</v>
      </c>
      <c r="D153" s="32">
        <f>Summary!D235</f>
        <v>5</v>
      </c>
      <c r="E153" s="32">
        <f>Summary!E235</f>
        <v>4.6923076923076925</v>
      </c>
      <c r="F153" s="32">
        <f>Summary!F235</f>
        <v>4.4733333333333336</v>
      </c>
      <c r="G153" s="32">
        <f>Summary!G235</f>
        <v>5</v>
      </c>
      <c r="H153" s="32">
        <f>Summary!H235</f>
        <v>3.666666666666667</v>
      </c>
      <c r="I153" s="32">
        <f>Summary!I235</f>
        <v>5</v>
      </c>
      <c r="J153" t="s">
        <v>169</v>
      </c>
    </row>
    <row r="154" spans="1:10" x14ac:dyDescent="0.3">
      <c r="A154" s="13" t="s">
        <v>124</v>
      </c>
      <c r="B154" s="32">
        <f>Summary!B236</f>
        <v>2.1111111111111107</v>
      </c>
      <c r="C154" s="32">
        <f>Summary!C236</f>
        <v>3.4722222222222219</v>
      </c>
      <c r="D154" s="32">
        <f>Summary!D236</f>
        <v>5</v>
      </c>
      <c r="E154" s="32">
        <f>Summary!E236</f>
        <v>4.8974358974358978</v>
      </c>
      <c r="F154" s="32">
        <f>Summary!F236</f>
        <v>4.6288888888888886</v>
      </c>
      <c r="G154" s="32">
        <f>Summary!G236</f>
        <v>5</v>
      </c>
      <c r="H154" s="32">
        <f>Summary!H236</f>
        <v>5</v>
      </c>
      <c r="I154" s="32">
        <f>Summary!I236</f>
        <v>5</v>
      </c>
      <c r="J154" t="s">
        <v>169</v>
      </c>
    </row>
    <row r="155" spans="1:10" x14ac:dyDescent="0.3">
      <c r="A155" t="s">
        <v>125</v>
      </c>
      <c r="B155" s="32">
        <f>Summary!B237</f>
        <v>3</v>
      </c>
      <c r="C155" s="32">
        <f>Summary!C237</f>
        <v>3.4722222222222219</v>
      </c>
      <c r="D155" s="32">
        <f>Summary!D237</f>
        <v>4.3333333333333339</v>
      </c>
      <c r="E155" s="32">
        <f>Summary!E237</f>
        <v>4.0769230769230766</v>
      </c>
      <c r="F155" s="32">
        <f>Summary!F237</f>
        <v>2.7399999999999998</v>
      </c>
      <c r="G155" s="32">
        <f>Summary!G237</f>
        <v>5</v>
      </c>
      <c r="H155" s="32">
        <f>Summary!H237</f>
        <v>5</v>
      </c>
      <c r="I155" s="32">
        <f>Summary!I237</f>
        <v>5</v>
      </c>
      <c r="J155" t="s">
        <v>169</v>
      </c>
    </row>
    <row r="156" spans="1:10" x14ac:dyDescent="0.3">
      <c r="A156" t="s">
        <v>126</v>
      </c>
      <c r="B156" s="32">
        <f>Summary!B238</f>
        <v>3</v>
      </c>
      <c r="C156" s="32">
        <f>Summary!C238</f>
        <v>3.4722222222222219</v>
      </c>
      <c r="D156" s="32">
        <f>Summary!D238</f>
        <v>5</v>
      </c>
      <c r="E156" s="32">
        <f>Summary!E238</f>
        <v>4.8974358974358978</v>
      </c>
      <c r="F156" s="32">
        <f>Summary!F238</f>
        <v>4.6288888888888886</v>
      </c>
      <c r="G156" s="32">
        <f>Summary!G238</f>
        <v>4.666666666666667</v>
      </c>
      <c r="H156" s="32">
        <f>Summary!H238</f>
        <v>5</v>
      </c>
      <c r="I156" s="32">
        <f>Summary!I238</f>
        <v>5</v>
      </c>
      <c r="J156" t="s">
        <v>169</v>
      </c>
    </row>
    <row r="157" spans="1:10" x14ac:dyDescent="0.3">
      <c r="A157" t="s">
        <v>127</v>
      </c>
      <c r="B157" s="32">
        <f>Summary!B239</f>
        <v>3</v>
      </c>
      <c r="C157" s="32">
        <f>Summary!C239</f>
        <v>3.4722222222222219</v>
      </c>
      <c r="D157" s="32">
        <f>Summary!D239</f>
        <v>5</v>
      </c>
      <c r="E157" s="32">
        <f>Summary!E239</f>
        <v>4.8974358974358978</v>
      </c>
      <c r="F157" s="32">
        <f>Summary!F239</f>
        <v>4.6288888888888886</v>
      </c>
      <c r="G157" s="32">
        <f>Summary!G239</f>
        <v>5</v>
      </c>
      <c r="H157" s="32">
        <f>Summary!H239</f>
        <v>5</v>
      </c>
      <c r="I157" s="32">
        <f>Summary!I239</f>
        <v>1</v>
      </c>
      <c r="J157" t="s">
        <v>169</v>
      </c>
    </row>
    <row r="158" spans="1:10" x14ac:dyDescent="0.3">
      <c r="A158" t="s">
        <v>128</v>
      </c>
      <c r="B158" s="32">
        <f>Summary!B240</f>
        <v>1</v>
      </c>
      <c r="C158" s="32">
        <f>Summary!C240</f>
        <v>0</v>
      </c>
      <c r="D158" s="32">
        <f>Summary!D240</f>
        <v>5</v>
      </c>
      <c r="E158" s="32">
        <f>Summary!E240</f>
        <v>4.8974358974358978</v>
      </c>
      <c r="F158" s="32">
        <f>Summary!F240</f>
        <v>4.6288888888888886</v>
      </c>
      <c r="G158" s="32">
        <f>Summary!G240</f>
        <v>1.6666666666666665</v>
      </c>
      <c r="H158" s="32">
        <f>Summary!H240</f>
        <v>5</v>
      </c>
      <c r="I158" s="32">
        <f>Summary!I240</f>
        <v>5</v>
      </c>
      <c r="J158" t="s">
        <v>169</v>
      </c>
    </row>
    <row r="159" spans="1:10" x14ac:dyDescent="0.3">
      <c r="A159" t="s">
        <v>129</v>
      </c>
      <c r="B159" s="32">
        <f>Summary!B241</f>
        <v>2.333333333333333</v>
      </c>
      <c r="C159" s="32">
        <f>Summary!C241</f>
        <v>3.3944444444444444</v>
      </c>
      <c r="D159" s="32">
        <f>Summary!D241</f>
        <v>4.3333333333333339</v>
      </c>
      <c r="E159" s="32">
        <f>Summary!E241</f>
        <v>4.6923076923076925</v>
      </c>
      <c r="F159" s="32">
        <f>Summary!F241</f>
        <v>2.7399999999999998</v>
      </c>
      <c r="G159" s="32">
        <f>Summary!G241</f>
        <v>5</v>
      </c>
      <c r="H159" s="32">
        <f>Summary!H241</f>
        <v>5</v>
      </c>
      <c r="I159" s="32">
        <f>Summary!I241</f>
        <v>5</v>
      </c>
      <c r="J159" t="s">
        <v>169</v>
      </c>
    </row>
    <row r="160" spans="1:10" x14ac:dyDescent="0.3">
      <c r="A160" t="s">
        <v>130</v>
      </c>
      <c r="B160" s="32">
        <f>Summary!B242</f>
        <v>1</v>
      </c>
      <c r="C160" s="32">
        <f>Summary!C242</f>
        <v>3.4722222222222219</v>
      </c>
      <c r="D160" s="32">
        <f>Summary!D242</f>
        <v>5</v>
      </c>
      <c r="E160" s="32">
        <f>Summary!E242</f>
        <v>4.8974358974358978</v>
      </c>
      <c r="F160" s="32">
        <f>Summary!F242</f>
        <v>4.6288888888888886</v>
      </c>
      <c r="G160" s="32">
        <f>Summary!G242</f>
        <v>5</v>
      </c>
      <c r="H160" s="32">
        <f>Summary!H242</f>
        <v>5</v>
      </c>
      <c r="I160" s="32">
        <f>Summary!I242</f>
        <v>5</v>
      </c>
      <c r="J160" t="s">
        <v>169</v>
      </c>
    </row>
    <row r="161" spans="1:10" x14ac:dyDescent="0.3">
      <c r="A161" t="s">
        <v>131</v>
      </c>
      <c r="B161" s="32">
        <f>Summary!B243</f>
        <v>3</v>
      </c>
      <c r="C161" s="32">
        <f>Summary!C243</f>
        <v>3.4722222222222219</v>
      </c>
      <c r="D161" s="32">
        <f>Summary!D243</f>
        <v>5</v>
      </c>
      <c r="E161" s="32">
        <f>Summary!E243</f>
        <v>4.8974358974358978</v>
      </c>
      <c r="F161" s="32">
        <f>Summary!F243</f>
        <v>4.6288888888888886</v>
      </c>
      <c r="G161" s="32">
        <f>Summary!G243</f>
        <v>4.833333333333333</v>
      </c>
      <c r="H161" s="32">
        <f>Summary!H243</f>
        <v>5</v>
      </c>
      <c r="I161" s="32">
        <f>Summary!I243</f>
        <v>5</v>
      </c>
      <c r="J161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Cancel Stop Hgl-Odz-Hgl</vt:lpstr>
      <vt:lpstr>ICE Waits</vt:lpstr>
      <vt:lpstr>Stop Waits</vt:lpstr>
      <vt:lpstr>Blad1</vt:lpstr>
      <vt:lpstr>Remove stop Hengelo</vt:lpstr>
      <vt:lpstr>Extra platform Hengelo</vt:lpstr>
      <vt:lpstr>Short-turn Hengelo</vt:lpstr>
      <vt:lpstr>Overtake Rijssen</vt:lpstr>
      <vt:lpstr>Alternative ICE Paths</vt:lpstr>
      <vt:lpstr>Stop Almelo</vt:lpstr>
      <vt:lpstr>BASE</vt:lpstr>
      <vt:lpstr>Summary</vt:lpstr>
      <vt:lpstr>Python</vt:lpstr>
      <vt:lpstr>Python2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Chris Juarez Overdevest</cp:lastModifiedBy>
  <cp:revision/>
  <dcterms:created xsi:type="dcterms:W3CDTF">2025-12-22T14:23:32Z</dcterms:created>
  <dcterms:modified xsi:type="dcterms:W3CDTF">2026-01-28T15:35:15Z</dcterms:modified>
  <cp:category/>
  <cp:contentStatus/>
</cp:coreProperties>
</file>